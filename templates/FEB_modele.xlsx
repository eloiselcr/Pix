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8"/>
  <workbookPr/>
  <mc:AlternateContent xmlns:mc="http://schemas.openxmlformats.org/markup-compatibility/2006">
    <mc:Choice Requires="x15">
      <x15ac:absPath xmlns:x15ac="http://schemas.microsoft.com/office/spreadsheetml/2010/11/ac" url="/Users/eloiselcr/Documents/AutoFinances/doc_templates/"/>
    </mc:Choice>
  </mc:AlternateContent>
  <xr:revisionPtr revIDLastSave="0" documentId="13_ncr:1_{5AA46FB3-4AE6-4F47-9494-E4FE377A67B3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FEB" sheetId="2" r:id="rId1"/>
    <sheet name="Table données" sheetId="4" r:id="rId2"/>
    <sheet name="Table" sheetId="3" state="hidden" r:id="rId3"/>
  </sheets>
  <definedNames>
    <definedName name="_xlnm._FilterDatabase" localSheetId="1" hidden="1">'Table données'!$E$1:$G$1</definedName>
    <definedName name="_xlnm.Print_Area" localSheetId="0">FEB!$A$1:$L$41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2" l="1"/>
  <c r="K20" i="2"/>
  <c r="K21" i="2"/>
  <c r="K22" i="2"/>
  <c r="K23" i="2"/>
  <c r="K24" i="2"/>
  <c r="K18" i="2"/>
  <c r="N19" i="2"/>
  <c r="N20" i="2"/>
  <c r="N21" i="2"/>
  <c r="N22" i="2"/>
  <c r="N23" i="2"/>
  <c r="N24" i="2"/>
  <c r="N18" i="2"/>
  <c r="K26" i="2" l="1"/>
  <c r="H33" i="4"/>
  <c r="H34" i="4"/>
  <c r="H35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2" i="4"/>
  <c r="K25" i="2" l="1"/>
  <c r="K2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PENNETIER Antoine CR2</author>
    <author>MAZIN Perrine CR1</author>
    <author>FAURE Ingrid IEF MINDEF</author>
    <author>POIRRIER Jade CR1</author>
  </authors>
  <commentList>
    <comment ref="K2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 remplir par le BFMC</t>
        </r>
      </text>
    </comment>
    <comment ref="B17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Adresse de livraison de la commande ou d'exécution de la prestation</t>
        </r>
      </text>
    </comment>
    <comment ref="C17" authorId="1" shapeId="0" xr:uid="{00000000-0006-0000-0000-000005000000}">
      <text>
        <r>
          <rPr>
            <b/>
            <sz val="9"/>
            <color rgb="FF000000"/>
            <rFont val="Arial"/>
            <family val="2"/>
          </rPr>
          <t xml:space="preserve">1/ Indiquer clairement la description de la prestation devant être commandée. Elle doit correspondre au libellé de la prestation dans le bordereau de prix (BP) en cas de marché
</t>
        </r>
        <r>
          <rPr>
            <b/>
            <sz val="9"/>
            <color rgb="FF000000"/>
            <rFont val="Arial"/>
            <family val="2"/>
          </rPr>
          <t>2/ Renseigner une ligne par prestation.</t>
        </r>
      </text>
    </comment>
    <comment ref="F17" authorId="2" shapeId="0" xr:uid="{00000000-0006-0000-0000-000006000000}">
      <text>
        <r>
          <rPr>
            <b/>
            <sz val="9"/>
            <color indexed="81"/>
            <rFont val="Arial"/>
            <family val="2"/>
          </rPr>
          <t>Porter dans cette colonne la référence constructeur ou fournisseur du matériel à commander (sera reportée sur le BC)</t>
        </r>
        <r>
          <rPr>
            <sz val="9"/>
            <color indexed="81"/>
            <rFont val="Arial"/>
            <family val="2"/>
          </rPr>
          <t xml:space="preserve">
</t>
        </r>
      </text>
    </comment>
    <comment ref="G17" authorId="1" shapeId="0" xr:uid="{00000000-0006-0000-0000-000007000000}">
      <text>
        <r>
          <rPr>
            <b/>
            <sz val="10"/>
            <color indexed="81"/>
            <rFont val="Arial"/>
            <family val="2"/>
          </rPr>
          <t>Préciser les calculs effectués en cas de proratisation
un mois = 30 jours
une année = 360 jours</t>
        </r>
      </text>
    </comment>
    <comment ref="H17" authorId="1" shapeId="0" xr:uid="{00000000-0006-0000-0000-000008000000}">
      <text>
        <r>
          <rPr>
            <b/>
            <sz val="9"/>
            <color indexed="81"/>
            <rFont val="Arial"/>
            <family val="2"/>
          </rPr>
          <t>=Date d'échéance
Voir CCTP dans le cas d'un marché, ou mention indiquée sur le devis</t>
        </r>
      </text>
    </comment>
    <comment ref="I17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 xml:space="preserve">Prix initial porté sur l'acte d'engagement ou dernier prix révisé connu </t>
        </r>
      </text>
    </comment>
    <comment ref="J17" authorId="3" shapeId="0" xr:uid="{00000000-0006-0000-0000-00000A000000}">
      <text>
        <r>
          <rPr>
            <b/>
            <sz val="9"/>
            <color rgb="FF000000"/>
            <rFont val="Tahoma"/>
            <family val="2"/>
          </rPr>
          <t>Sélectionner un taux de TVA par ligne</t>
        </r>
      </text>
    </comment>
    <comment ref="N17" authorId="3" shapeId="0" xr:uid="{00000000-0006-0000-0000-00000B000000}">
      <text>
        <r>
          <rPr>
            <b/>
            <sz val="9"/>
            <color indexed="81"/>
            <rFont val="Tahoma"/>
            <family val="2"/>
          </rPr>
          <t>POIRRIER Jade CR1:</t>
        </r>
        <r>
          <rPr>
            <sz val="9"/>
            <color indexed="81"/>
            <rFont val="Tahoma"/>
            <family val="2"/>
          </rPr>
          <t xml:space="preserve">
Ne pas supprimer
</t>
        </r>
      </text>
    </comment>
  </commentList>
</comments>
</file>

<file path=xl/sharedStrings.xml><?xml version="1.0" encoding="utf-8"?>
<sst xmlns="http://schemas.openxmlformats.org/spreadsheetml/2006/main" count="1385" uniqueCount="923">
  <si>
    <t>Intitulé de l'Opération :</t>
  </si>
  <si>
    <t>Interlocuteur :</t>
  </si>
  <si>
    <t>Adresse :</t>
  </si>
  <si>
    <t>CP :</t>
  </si>
  <si>
    <t>Tél :</t>
  </si>
  <si>
    <t>Mail :</t>
  </si>
  <si>
    <t>Site de livraison / d'exécution</t>
  </si>
  <si>
    <t>Réf. BPU + 
libellé détaillé de la prestation</t>
  </si>
  <si>
    <t>Détail du calcul du prorata si nécessaire</t>
  </si>
  <si>
    <t>Prix unitaire H.T</t>
  </si>
  <si>
    <t>Qté</t>
  </si>
  <si>
    <t>Prix total HT</t>
  </si>
  <si>
    <t xml:space="preserve">TOTAL H.T : </t>
  </si>
  <si>
    <t xml:space="preserve">TOTAL TTC : </t>
  </si>
  <si>
    <t xml:space="preserve">FICHE D'EXPRESSION DE BESOIN </t>
  </si>
  <si>
    <t>Observations :</t>
  </si>
  <si>
    <t>Coordonnées Contact Commande</t>
  </si>
  <si>
    <t>RCP :</t>
  </si>
  <si>
    <t>Titulaire  :</t>
  </si>
  <si>
    <t>Ville :</t>
  </si>
  <si>
    <t xml:space="preserve">Date : </t>
  </si>
  <si>
    <t>Cachet :</t>
  </si>
  <si>
    <t>Chef BFMC</t>
  </si>
  <si>
    <t xml:space="preserve">Ref. ligne budgétaire : </t>
  </si>
  <si>
    <t>Chef de division</t>
  </si>
  <si>
    <t>BTIN-2025-01</t>
  </si>
  <si>
    <t>Communication</t>
  </si>
  <si>
    <t>BTIN-2025-02</t>
  </si>
  <si>
    <t>DIGITAL FACTORY</t>
  </si>
  <si>
    <t>BTIN-2025-03</t>
  </si>
  <si>
    <t>LABSSA</t>
  </si>
  <si>
    <t>BTIN-2025-04</t>
  </si>
  <si>
    <t>MEDOPEX</t>
  </si>
  <si>
    <t>BTIN-2025-05</t>
  </si>
  <si>
    <t>TEAMDOC</t>
  </si>
  <si>
    <t>BTIN-2025-06</t>
  </si>
  <si>
    <t>WEBSSA INTERNET</t>
  </si>
  <si>
    <t>BTIN-2025-07</t>
  </si>
  <si>
    <t>WEBSSA INTRANET</t>
  </si>
  <si>
    <t>BDIA-2025-01</t>
  </si>
  <si>
    <t>CORTEX [E-SAN]</t>
  </si>
  <si>
    <t>BDIA-2025-02</t>
  </si>
  <si>
    <t>FEUILLE DE ROUTE DES DONNEES SSA</t>
  </si>
  <si>
    <t>DSO-BMF-2025-01</t>
  </si>
  <si>
    <t>PAEI</t>
  </si>
  <si>
    <t>DSO-BMF-2025-02</t>
  </si>
  <si>
    <t>AXONE</t>
  </si>
  <si>
    <t>DSO-BMF-2025-03</t>
  </si>
  <si>
    <t>APIZEE</t>
  </si>
  <si>
    <t>DSO-BMF-2025-04</t>
  </si>
  <si>
    <t>CLES</t>
  </si>
  <si>
    <t>DSO-BMF-2025-05</t>
  </si>
  <si>
    <t>PREVENTIEL</t>
  </si>
  <si>
    <t>DSO-BMF-2025-06</t>
  </si>
  <si>
    <t>TELIM</t>
  </si>
  <si>
    <t>DSO-BMF-2025-07</t>
  </si>
  <si>
    <t>UEGAR</t>
  </si>
  <si>
    <t>DSO-BRM-2025-01</t>
  </si>
  <si>
    <t>DSO-BRM-2025-02</t>
  </si>
  <si>
    <t>B2BI</t>
  </si>
  <si>
    <t>DSO-BRM-2025-03</t>
  </si>
  <si>
    <t>GMDMAO</t>
  </si>
  <si>
    <t>DSO-BRM-2025-04</t>
  </si>
  <si>
    <t>GSTOCK</t>
  </si>
  <si>
    <t>DSO-BRM-2025-05</t>
  </si>
  <si>
    <t>HOSPITALIS-CEGEDIM</t>
  </si>
  <si>
    <t>DSO-BRM-2025-06</t>
  </si>
  <si>
    <t>INTERFACE HOSPITALIS-CEGEDIM</t>
  </si>
  <si>
    <t>DSO-BRM-2025-07</t>
  </si>
  <si>
    <t>LEATUS</t>
  </si>
  <si>
    <t>DSO-BRM-2025-08</t>
  </si>
  <si>
    <t>LIMS</t>
  </si>
  <si>
    <t>DSO-BRM-2025-09</t>
  </si>
  <si>
    <t>SERENA</t>
  </si>
  <si>
    <t>DSO-BRM-2025-10</t>
  </si>
  <si>
    <t>SINAPS</t>
  </si>
  <si>
    <t>DSO-BRM-2025-11</t>
  </si>
  <si>
    <t>SINAPS [BARTO]</t>
  </si>
  <si>
    <t>DSO-BRM-2025-12</t>
  </si>
  <si>
    <t>SINAPS NG</t>
  </si>
  <si>
    <t>DSO-BRM-2025-13</t>
  </si>
  <si>
    <t>UDPS DIV [E-SAN]</t>
  </si>
  <si>
    <t>DSO-BSMO-2025-01</t>
  </si>
  <si>
    <t>SIPOS PREPA GEFORA</t>
  </si>
  <si>
    <t>DSO-BHO-2025-01</t>
  </si>
  <si>
    <t>4AXES</t>
  </si>
  <si>
    <t>DSO-BHO-2025-02</t>
  </si>
  <si>
    <t>ACCEO</t>
  </si>
  <si>
    <t>DSO-BHO-2025-03</t>
  </si>
  <si>
    <t>AREGIE</t>
  </si>
  <si>
    <t>DSO-BHO-2025-04</t>
  </si>
  <si>
    <t>BAHIA</t>
  </si>
  <si>
    <t>DSO-BHO-2025-05</t>
  </si>
  <si>
    <t>BAR</t>
  </si>
  <si>
    <t>DSO-BHO-2025-06</t>
  </si>
  <si>
    <t>BARTO Migrations SI</t>
  </si>
  <si>
    <t>DSO-BHO-2025-07</t>
  </si>
  <si>
    <t>CARDIO REPORT</t>
  </si>
  <si>
    <t>DSO-BHO-2025-08</t>
  </si>
  <si>
    <t>CONNEXION D'AUTOMATES</t>
  </si>
  <si>
    <t>DSO-BHO-2025-09</t>
  </si>
  <si>
    <t>CURSUS</t>
  </si>
  <si>
    <t>DSO-BHO-2025-10</t>
  </si>
  <si>
    <t>DATAMEAL</t>
  </si>
  <si>
    <t>DSO-BHO-2025-11</t>
  </si>
  <si>
    <t>DIAMIC</t>
  </si>
  <si>
    <t>DSO-BHO-2025-12</t>
  </si>
  <si>
    <t>DMP</t>
  </si>
  <si>
    <t>DSO-BHO-2025-13</t>
  </si>
  <si>
    <t>DOCTOLIB</t>
  </si>
  <si>
    <t>DSO-BHO-2025-14</t>
  </si>
  <si>
    <t>DOSSIER PHARMACEUTIQUE</t>
  </si>
  <si>
    <t>DSO-BHO-2025-15</t>
  </si>
  <si>
    <t>DPI NG</t>
  </si>
  <si>
    <t>DSO-BHO-2025-16</t>
  </si>
  <si>
    <t>EASILY</t>
  </si>
  <si>
    <t>DSO-BHO-2025-17</t>
  </si>
  <si>
    <t>ESV2 / EIE</t>
  </si>
  <si>
    <t>DSO-BHO-2025-18</t>
  </si>
  <si>
    <t>FISSA [E-SAN]</t>
  </si>
  <si>
    <t>DSO-BHO-2025-19</t>
  </si>
  <si>
    <t>FORUM</t>
  </si>
  <si>
    <t>DSO-BHO-2025-20</t>
  </si>
  <si>
    <t>HEMATOS</t>
  </si>
  <si>
    <t>DSO-BHO-2025-21</t>
  </si>
  <si>
    <t>HUBLO</t>
  </si>
  <si>
    <t>DSO-BHO-2025-22</t>
  </si>
  <si>
    <t>IBAHIA</t>
  </si>
  <si>
    <t>DSO-BHO-2025-23</t>
  </si>
  <si>
    <t>IMAGERIE - IA et imagerie médicale</t>
  </si>
  <si>
    <t>DSO-BHO-2025-24</t>
  </si>
  <si>
    <t>IMAGERIE - PACS</t>
  </si>
  <si>
    <t>DSO-BHO-2025-25</t>
  </si>
  <si>
    <t>InfoCentre SIH - SAP BI</t>
  </si>
  <si>
    <t>DSO-BHO-2025-26</t>
  </si>
  <si>
    <t>INS</t>
  </si>
  <si>
    <t>DSO-BHO-2025-27</t>
  </si>
  <si>
    <t>LOINC</t>
  </si>
  <si>
    <t>DSO-BHO-2025-28</t>
  </si>
  <si>
    <t>M-CROSSWAY (AMADEUS)</t>
  </si>
  <si>
    <t>DSO-BHO-2025-29</t>
  </si>
  <si>
    <t>OPHTIX</t>
  </si>
  <si>
    <t>DSO-BHO-2025-30</t>
  </si>
  <si>
    <t>OPTIM</t>
  </si>
  <si>
    <t>DSO-BHO-2025-31</t>
  </si>
  <si>
    <t>ORTIF</t>
  </si>
  <si>
    <t>DSO-BHO-2025-32</t>
  </si>
  <si>
    <t>Paiement en ligne</t>
  </si>
  <si>
    <t>DSO-BHO-2025-33</t>
  </si>
  <si>
    <t>PHARMA-CHIMIO</t>
  </si>
  <si>
    <t>DSO-BHO-2025-34</t>
  </si>
  <si>
    <t>PMSI PILOT</t>
  </si>
  <si>
    <t>DSO-BHO-2025-35</t>
  </si>
  <si>
    <t>RECO</t>
  </si>
  <si>
    <t>DSO-BHO-2025-36</t>
  </si>
  <si>
    <t>RESURGENCES</t>
  </si>
  <si>
    <t>DSO-BHO-2025-37</t>
  </si>
  <si>
    <t>RIS</t>
  </si>
  <si>
    <t>DSO-BHO-2025-38</t>
  </si>
  <si>
    <t>ROC</t>
  </si>
  <si>
    <t>DSO-BHO-2025-39</t>
  </si>
  <si>
    <t>SAPANET</t>
  </si>
  <si>
    <t>DSO-BHO-2025-40</t>
  </si>
  <si>
    <t>SGIM</t>
  </si>
  <si>
    <t>DSO-BHO-2025-41</t>
  </si>
  <si>
    <t>SGIM (Remplacement)</t>
  </si>
  <si>
    <t>DSO-BHO-2025-42</t>
  </si>
  <si>
    <t>SMS CHIRURGIE AMBULATOIRE</t>
  </si>
  <si>
    <t>DSO-BHO-2025-43</t>
  </si>
  <si>
    <t>SOFTALMO</t>
  </si>
  <si>
    <t>DSO-BHO-2025-44</t>
  </si>
  <si>
    <t>DRAGON</t>
  </si>
  <si>
    <t>DSO-BHO-2025-45</t>
  </si>
  <si>
    <t>SYNERGY RP</t>
  </si>
  <si>
    <t>DSO-BHO-2025-46</t>
  </si>
  <si>
    <t>TD-NEXLABS</t>
  </si>
  <si>
    <t>DSO-BHO-2025-47</t>
  </si>
  <si>
    <t>VENUS</t>
  </si>
  <si>
    <t>DSO-BHO-2025-48</t>
  </si>
  <si>
    <t>VSTAFF</t>
  </si>
  <si>
    <t>DSO-BHO-2025-49</t>
  </si>
  <si>
    <t>WINREST</t>
  </si>
  <si>
    <t>DSD-BFO-2025-01</t>
  </si>
  <si>
    <t>DSD-BFO-2025-02</t>
  </si>
  <si>
    <t>ANIM - Animation de cours/réunion</t>
  </si>
  <si>
    <t>DSD-BFO-2025-03</t>
  </si>
  <si>
    <t>FeedBack video</t>
  </si>
  <si>
    <t>DSD-BFO-2025-04</t>
  </si>
  <si>
    <t>GEDISSA</t>
  </si>
  <si>
    <t>DSD-BFO-2025-05</t>
  </si>
  <si>
    <t>Gestion de magasin</t>
  </si>
  <si>
    <t>DSD-BFO-2025-06</t>
  </si>
  <si>
    <t>KELIO [BARTO]</t>
  </si>
  <si>
    <t>DSD-BFO-2025-07</t>
  </si>
  <si>
    <t>MYELINE</t>
  </si>
  <si>
    <t>DSD-BFO-2025-08</t>
  </si>
  <si>
    <t>Réseau Internet CEFOS</t>
  </si>
  <si>
    <t>DSD-BFO-2025-09</t>
  </si>
  <si>
    <t>Réseau Internet EMSLB</t>
  </si>
  <si>
    <t>DSD-BFO-2025-10</t>
  </si>
  <si>
    <t>Réseau internet EVDG</t>
  </si>
  <si>
    <t>DSD-BRC-2025-01</t>
  </si>
  <si>
    <t>DSD-BRC-2025-02</t>
  </si>
  <si>
    <t>ARAMIS (ENNOV RAVMED)</t>
  </si>
  <si>
    <t>DSD-BRC-2025-03</t>
  </si>
  <si>
    <t>ATHOS (ENNOV HIA)</t>
  </si>
  <si>
    <t>DSD-BRC-2025-04</t>
  </si>
  <si>
    <t>ATHOS (ENNOV HIA)  [BARTO]</t>
  </si>
  <si>
    <t>DSD-BRC-2025-05</t>
  </si>
  <si>
    <t>MEDIATHEQUE SSA</t>
  </si>
  <si>
    <t>DSD-BRC-2025-06</t>
  </si>
  <si>
    <t>MS SANTE</t>
  </si>
  <si>
    <t>DSD-BRC-2025-07</t>
  </si>
  <si>
    <t>Outil de gestion de projets et portefeuille projets</t>
  </si>
  <si>
    <t>DSD-BRC-2025-08</t>
  </si>
  <si>
    <t>PYX4/PRINCE</t>
  </si>
  <si>
    <t>DSD-BRC-2025-09</t>
  </si>
  <si>
    <t>PYX4/PRINCE [BARTO]</t>
  </si>
  <si>
    <t>DSD-BRC-2025-10</t>
  </si>
  <si>
    <t>RESEAU DISCRET</t>
  </si>
  <si>
    <t>DSD-BRC-2025-11</t>
  </si>
  <si>
    <t>SIG ESRI</t>
  </si>
  <si>
    <t>DSD-BRC-2025-12</t>
  </si>
  <si>
    <t>SIL GLB SSA</t>
  </si>
  <si>
    <t>DSD-BRE-2025-01</t>
  </si>
  <si>
    <t>DSD-BRE-2025-02</t>
  </si>
  <si>
    <t>APAX</t>
  </si>
  <si>
    <t>DSD-BRE-2025-03</t>
  </si>
  <si>
    <t>BCB</t>
  </si>
  <si>
    <t>DSD-BRE-2025-04</t>
  </si>
  <si>
    <t>CIO</t>
  </si>
  <si>
    <t>DSD-BRE-2025-05</t>
  </si>
  <si>
    <t>E-CRF</t>
  </si>
  <si>
    <t>DSD-BRE-2025-06</t>
  </si>
  <si>
    <t>E-MDPH</t>
  </si>
  <si>
    <t>DSD-BRE-2025-07</t>
  </si>
  <si>
    <t>EVEDRUG</t>
  </si>
  <si>
    <t>DSD-BRE-2025-08</t>
  </si>
  <si>
    <t>GUPE</t>
  </si>
  <si>
    <t>DSD-BRE-2025-09</t>
  </si>
  <si>
    <t>NORMEA</t>
  </si>
  <si>
    <t>DSD-BRE-2025-10</t>
  </si>
  <si>
    <t>OSEA</t>
  </si>
  <si>
    <t>DSD-BRE-2025-11</t>
  </si>
  <si>
    <t>PULSATION</t>
  </si>
  <si>
    <t>DSD-BRE-2025-12</t>
  </si>
  <si>
    <t>SIRA</t>
  </si>
  <si>
    <t>DSD-BRE-2025-13</t>
  </si>
  <si>
    <t>SPHERE SSA</t>
  </si>
  <si>
    <t>DSD-BRE-2025-14</t>
  </si>
  <si>
    <t>SUIVISAN</t>
  </si>
  <si>
    <t>DSD-BRE-2025-15</t>
  </si>
  <si>
    <t>SUPERCALCULATEUR</t>
  </si>
  <si>
    <t>DSD-BRE-2025-16</t>
  </si>
  <si>
    <t>VIDAL</t>
  </si>
  <si>
    <t>DSD-BRE-2025-17</t>
  </si>
  <si>
    <t>WEPI</t>
  </si>
  <si>
    <t>DIE-2025-01</t>
  </si>
  <si>
    <t>DIE-2025-02</t>
  </si>
  <si>
    <t>ABONNEMENT TELEPHONIE INTERNET</t>
  </si>
  <si>
    <t>DIE-2025-03</t>
  </si>
  <si>
    <t>APPUI PROJETS METIERS</t>
  </si>
  <si>
    <t>DIE-2025-04</t>
  </si>
  <si>
    <t>APPUI PROJETS TECHNIQUES</t>
  </si>
  <si>
    <t>DIE-2025-05</t>
  </si>
  <si>
    <t>APPUI RUN TECHNIQUE</t>
  </si>
  <si>
    <t>DIE-2025-06</t>
  </si>
  <si>
    <t>AUTOCOM</t>
  </si>
  <si>
    <t>DIE-2025-07</t>
  </si>
  <si>
    <t>BNR</t>
  </si>
  <si>
    <t>DIE-2025-08</t>
  </si>
  <si>
    <t>EASY VISTA</t>
  </si>
  <si>
    <t>DIE-2025-09</t>
  </si>
  <si>
    <t>EXPLOITATION</t>
  </si>
  <si>
    <t>DIE-2025-10</t>
  </si>
  <si>
    <t>LICENCES</t>
  </si>
  <si>
    <t>DIE-2025-11</t>
  </si>
  <si>
    <t>MATERIELS HORS GARANTIE</t>
  </si>
  <si>
    <t>DIE-2025-12</t>
  </si>
  <si>
    <t>PLAN DE SECURISATION</t>
  </si>
  <si>
    <t>DIE-2025-13</t>
  </si>
  <si>
    <t>RESEAU</t>
  </si>
  <si>
    <t>DIE-2025-14</t>
  </si>
  <si>
    <t>WIFI</t>
  </si>
  <si>
    <t>LID-2025-01</t>
  </si>
  <si>
    <t>LID-2025-02</t>
  </si>
  <si>
    <t>Formations cyber avancées + conventions</t>
  </si>
  <si>
    <t>LID-2025-03</t>
  </si>
  <si>
    <t>Prestations Intellectuelles et Homologation</t>
  </si>
  <si>
    <t>LID-2025-04</t>
  </si>
  <si>
    <t>Infra LID DC</t>
  </si>
  <si>
    <t>LID-2025-05</t>
  </si>
  <si>
    <t>Internet dédié au SOC SSA</t>
  </si>
  <si>
    <t>LID-2025-06</t>
  </si>
  <si>
    <t>Mur d'images</t>
  </si>
  <si>
    <t>LID-2025-07</t>
  </si>
  <si>
    <t>Réserve de remédiation post-attaque cyber</t>
  </si>
  <si>
    <t>LID-2025-08</t>
  </si>
  <si>
    <t>SND</t>
  </si>
  <si>
    <t>LID-2025-09</t>
  </si>
  <si>
    <t>TANIUM</t>
  </si>
  <si>
    <t>EM-2025-01</t>
  </si>
  <si>
    <t>Condition du personnel DSIN-S</t>
  </si>
  <si>
    <t>EM-2025-02</t>
  </si>
  <si>
    <t>Entretien courant des bâtiments DSIN-S</t>
  </si>
  <si>
    <t>EM-2025-03</t>
  </si>
  <si>
    <t>Equipement Mobiliers - Condition de travail</t>
  </si>
  <si>
    <t>EM-2025-04</t>
  </si>
  <si>
    <t>Gardiennage emprise DSIN-S</t>
  </si>
  <si>
    <t>EM-2025-05</t>
  </si>
  <si>
    <t>Frais de représentation</t>
  </si>
  <si>
    <t>EM-2025-06</t>
  </si>
  <si>
    <t>Frais logistiques DIRISI</t>
  </si>
  <si>
    <t>EM-2025-07</t>
  </si>
  <si>
    <t>Frais de déplacement</t>
  </si>
  <si>
    <t>EM-2025-08</t>
  </si>
  <si>
    <t>Formation continue payante</t>
  </si>
  <si>
    <t>EM-2025-09</t>
  </si>
  <si>
    <t>Maintenance forfaitaire climatisation - ventilation - chauffage - fontaines</t>
  </si>
  <si>
    <t>Référence besoin</t>
  </si>
  <si>
    <t>2025-BDIA-0001</t>
  </si>
  <si>
    <t>2025-BDIA-0002</t>
  </si>
  <si>
    <t>2025-BDIA-0003</t>
  </si>
  <si>
    <t>2025-BDIA-0004</t>
  </si>
  <si>
    <t>2025-BDIA-0005</t>
  </si>
  <si>
    <t>2025-BDIA-0006</t>
  </si>
  <si>
    <t>2025-BDIA-0007</t>
  </si>
  <si>
    <t>2025-BFO-001</t>
  </si>
  <si>
    <t>2025-BFO-002</t>
  </si>
  <si>
    <t>2025-BFO-003</t>
  </si>
  <si>
    <t>2025-BFO-004</t>
  </si>
  <si>
    <t>2025-BFO-005</t>
  </si>
  <si>
    <t>2025-BFO-006</t>
  </si>
  <si>
    <t>2025-BFO-007</t>
  </si>
  <si>
    <t>2025-BFO-008</t>
  </si>
  <si>
    <t>2025-BFO-009</t>
  </si>
  <si>
    <t>2025-BFO-010</t>
  </si>
  <si>
    <t>2025-BFO-011</t>
  </si>
  <si>
    <t>2025-BFO-012</t>
  </si>
  <si>
    <t>2025-BFO-013</t>
  </si>
  <si>
    <t>2025-BFO-014</t>
  </si>
  <si>
    <t>2025-BFO-015</t>
  </si>
  <si>
    <t>2025-BFO-016</t>
  </si>
  <si>
    <t>2025-BFO-017</t>
  </si>
  <si>
    <t>2025-BFO-018</t>
  </si>
  <si>
    <t>2025-BFO-019</t>
  </si>
  <si>
    <t>2025-BFO-020</t>
  </si>
  <si>
    <t>2025-BFO-021</t>
  </si>
  <si>
    <t>2025-BFO-022</t>
  </si>
  <si>
    <t>2025-BFO-023</t>
  </si>
  <si>
    <t>2025-BFO-024</t>
  </si>
  <si>
    <t>2025-BFO-025</t>
  </si>
  <si>
    <t>2025-BFO-026</t>
  </si>
  <si>
    <t>2025-BFO-027</t>
  </si>
  <si>
    <t>2025-BFO-028</t>
  </si>
  <si>
    <t>2025-BFO-029</t>
  </si>
  <si>
    <t>2025-BFO-030</t>
  </si>
  <si>
    <t>2025-BFO-031</t>
  </si>
  <si>
    <t>2025-BFO-032</t>
  </si>
  <si>
    <t>2025-BFO-033</t>
  </si>
  <si>
    <t>2025-BFO-034</t>
  </si>
  <si>
    <t>2025-BFO-035</t>
  </si>
  <si>
    <t>2025-BFO-036</t>
  </si>
  <si>
    <t>2025-BFO-037</t>
  </si>
  <si>
    <t>2025-BFO-038</t>
  </si>
  <si>
    <t>2025-BFO-039</t>
  </si>
  <si>
    <t>2025-BHO-0001</t>
  </si>
  <si>
    <t>2025-BHO-0002</t>
  </si>
  <si>
    <t>2025-BHO-0003</t>
  </si>
  <si>
    <t>2025-BHO-0004</t>
  </si>
  <si>
    <t>2025-BHO-0005</t>
  </si>
  <si>
    <t>2025-BHO-0006</t>
  </si>
  <si>
    <t>2025-BHO-0007</t>
  </si>
  <si>
    <t>2025-BHO-0008</t>
  </si>
  <si>
    <t>2025-BHO-0009</t>
  </si>
  <si>
    <t>2025-BHO-0010</t>
  </si>
  <si>
    <t>2025-BHO-0011</t>
  </si>
  <si>
    <t>2025-BHO-0012</t>
  </si>
  <si>
    <t>2025-BHO-0013</t>
  </si>
  <si>
    <t>2025-BHO-0014</t>
  </si>
  <si>
    <t>2025-BHO-0015</t>
  </si>
  <si>
    <t>2025-BHO-0016</t>
  </si>
  <si>
    <t>2025-BHO-0017</t>
  </si>
  <si>
    <t>2025-BHO-0018</t>
  </si>
  <si>
    <t>2025-BHO-0019</t>
  </si>
  <si>
    <t>2025-BHO-0020</t>
  </si>
  <si>
    <t>2025-BHO-0021</t>
  </si>
  <si>
    <t>2025-BHO-0022</t>
  </si>
  <si>
    <t>2025-BHO-0023</t>
  </si>
  <si>
    <t>2025-BHO-0024</t>
  </si>
  <si>
    <t>2025-BHO-0025</t>
  </si>
  <si>
    <t>2025-BHO-0026</t>
  </si>
  <si>
    <t>2025-BHO-0027</t>
  </si>
  <si>
    <t>2025-BHO-0028</t>
  </si>
  <si>
    <t>2025-BHO-0029</t>
  </si>
  <si>
    <t>2025-BHO-0030</t>
  </si>
  <si>
    <t>2025-BHO-0031</t>
  </si>
  <si>
    <t>2025-BHO-0032</t>
  </si>
  <si>
    <t>2025-BHO-0033</t>
  </si>
  <si>
    <t>2025-BHO-0034</t>
  </si>
  <si>
    <t>2025-BHO-0035</t>
  </si>
  <si>
    <t>2025-BHO-0036</t>
  </si>
  <si>
    <t>2025-BHO-0037</t>
  </si>
  <si>
    <t>2025-BHO-0038</t>
  </si>
  <si>
    <t>2025-BHO-0039</t>
  </si>
  <si>
    <t>2025-BHO-0040</t>
  </si>
  <si>
    <t>2025-BHO-0041</t>
  </si>
  <si>
    <t>2025-BHO-0042</t>
  </si>
  <si>
    <t>2025-BHO-0043</t>
  </si>
  <si>
    <t>2025-BHO-0044</t>
  </si>
  <si>
    <t>2025-BHO-0045</t>
  </si>
  <si>
    <t>2025-BHO-0046</t>
  </si>
  <si>
    <t>2025-BHO-0047</t>
  </si>
  <si>
    <t>2025-BHO-0048</t>
  </si>
  <si>
    <t>2025-BHO-0049</t>
  </si>
  <si>
    <t>2025-BHO-0050</t>
  </si>
  <si>
    <t>2025-BHO-0051</t>
  </si>
  <si>
    <t>2025-BHO-0052</t>
  </si>
  <si>
    <t>2025-BHO-0053</t>
  </si>
  <si>
    <t>2025-BHO-0054</t>
  </si>
  <si>
    <t>2025-BHO-0055</t>
  </si>
  <si>
    <t>2025-BHO-0056</t>
  </si>
  <si>
    <t>2025-BHO-0057</t>
  </si>
  <si>
    <t>2025-BHO-0058</t>
  </si>
  <si>
    <t>2025-BHO-0059</t>
  </si>
  <si>
    <t>2025-BHO-0060</t>
  </si>
  <si>
    <t>2025-BHO-0061</t>
  </si>
  <si>
    <t>2025-BHO-0062</t>
  </si>
  <si>
    <t>2025-BHO-0063</t>
  </si>
  <si>
    <t>2025-BHO-0064</t>
  </si>
  <si>
    <t>2025-BHO-0065</t>
  </si>
  <si>
    <t>2025-BHO-0066</t>
  </si>
  <si>
    <t>2025-BHO-0067</t>
  </si>
  <si>
    <t>2025-BHO-0068</t>
  </si>
  <si>
    <t>2025-BHO-0069</t>
  </si>
  <si>
    <t>2025-BHO-0070</t>
  </si>
  <si>
    <t>2025-BHO-0071</t>
  </si>
  <si>
    <t>2025-BHO-0072</t>
  </si>
  <si>
    <t>2025-BHO-0073</t>
  </si>
  <si>
    <t>2025-BHO-0074</t>
  </si>
  <si>
    <t>2025-BHO-0075</t>
  </si>
  <si>
    <t>2025-BHO-0076</t>
  </si>
  <si>
    <t>2025-BHO-0077</t>
  </si>
  <si>
    <t>2025-BHO-0078</t>
  </si>
  <si>
    <t>2025-BHO-0079</t>
  </si>
  <si>
    <t>2025-BHO-0080</t>
  </si>
  <si>
    <t>2025-BHO-0081</t>
  </si>
  <si>
    <t>2025-BHO-0082</t>
  </si>
  <si>
    <t>2025-BHO-0083</t>
  </si>
  <si>
    <t>2025-BHO-0084</t>
  </si>
  <si>
    <t>2025-BHO-0085</t>
  </si>
  <si>
    <t>2025-BHO-0086</t>
  </si>
  <si>
    <t>2025-BHO-0087</t>
  </si>
  <si>
    <t>2025-BHO-0088</t>
  </si>
  <si>
    <t>2025-BHO-0089</t>
  </si>
  <si>
    <t>2025-BHO-0090</t>
  </si>
  <si>
    <t>2025-BHO-0091</t>
  </si>
  <si>
    <t>2025-BHO-0092</t>
  </si>
  <si>
    <t>2025-BHO-0093</t>
  </si>
  <si>
    <t>2025-BHO-0094</t>
  </si>
  <si>
    <t>2025-BHO-0095</t>
  </si>
  <si>
    <t>2025-BHO-0096</t>
  </si>
  <si>
    <t>2025-BHO-0097</t>
  </si>
  <si>
    <t>2025-BHO-0098</t>
  </si>
  <si>
    <t>2025-BHO-0099</t>
  </si>
  <si>
    <t>2025-BHO-0100</t>
  </si>
  <si>
    <t>2025-BHO-0101</t>
  </si>
  <si>
    <t>2025-BHO-0102</t>
  </si>
  <si>
    <t>2025-BHO-0103</t>
  </si>
  <si>
    <t>2025-BHO-0104</t>
  </si>
  <si>
    <t>2025-BHO-0105</t>
  </si>
  <si>
    <t>2025-BHO-0106</t>
  </si>
  <si>
    <t>2025-BHO-0107</t>
  </si>
  <si>
    <t>2025-BHO-0108</t>
  </si>
  <si>
    <t>2025-BHO-0109</t>
  </si>
  <si>
    <t>2025-BHO-0110</t>
  </si>
  <si>
    <t>2025-BHO-0111</t>
  </si>
  <si>
    <t>2025-BHO-0112</t>
  </si>
  <si>
    <t>2025-BHO-0113</t>
  </si>
  <si>
    <t>2025-BHO-0114</t>
  </si>
  <si>
    <t>2025-BHO-0115</t>
  </si>
  <si>
    <t>2025-BHO-0116</t>
  </si>
  <si>
    <t>2025-BHO-0117</t>
  </si>
  <si>
    <t>2025-BHO-0118</t>
  </si>
  <si>
    <t>2025-BHO-0119</t>
  </si>
  <si>
    <t>2025-BHO-0120</t>
  </si>
  <si>
    <t>2025-BMF-0001</t>
  </si>
  <si>
    <t>2025-BMF-0002</t>
  </si>
  <si>
    <t>2025-BMF-0003</t>
  </si>
  <si>
    <t>2025-BMF-0004</t>
  </si>
  <si>
    <t>2025-BMF-0005</t>
  </si>
  <si>
    <t>2025-BMF-0006</t>
  </si>
  <si>
    <t>2025-BMF-0007</t>
  </si>
  <si>
    <t>2025-BMF-0008</t>
  </si>
  <si>
    <t>2025-BMF-0009</t>
  </si>
  <si>
    <t>2025-BMF-0010</t>
  </si>
  <si>
    <t>2025-BMF-0011</t>
  </si>
  <si>
    <t>2025-BMF-0012</t>
  </si>
  <si>
    <t>2025-BMF-0013</t>
  </si>
  <si>
    <t>2025-BMF-0014</t>
  </si>
  <si>
    <t>2025-BMF-0015</t>
  </si>
  <si>
    <t>2025-BMF-0016</t>
  </si>
  <si>
    <t>2025-BMF-0017</t>
  </si>
  <si>
    <t>2025-BMF-0018</t>
  </si>
  <si>
    <t>2025-BMF-0019</t>
  </si>
  <si>
    <t>2025-BMF-0020</t>
  </si>
  <si>
    <t>2025-BMF-0021</t>
  </si>
  <si>
    <t>2025-BMF-0022</t>
  </si>
  <si>
    <t>2025-BMF-0023</t>
  </si>
  <si>
    <t>2025-BMF-0024</t>
  </si>
  <si>
    <t>2025-BMF-0025</t>
  </si>
  <si>
    <t>2025-BMF-0026</t>
  </si>
  <si>
    <t>2025-BMF-0027</t>
  </si>
  <si>
    <t>2025-BMF-0028</t>
  </si>
  <si>
    <t>2025-BMF-0029</t>
  </si>
  <si>
    <t>2025-BMF-0030</t>
  </si>
  <si>
    <t>2025-BMF-0031</t>
  </si>
  <si>
    <t>2025-BMF-0032</t>
  </si>
  <si>
    <t>2025-BMF-0033</t>
  </si>
  <si>
    <t>2025-BMF-0034</t>
  </si>
  <si>
    <t>2025-BMF-0035</t>
  </si>
  <si>
    <t>2025-BMF-0036</t>
  </si>
  <si>
    <t>2025-BMF-0037</t>
  </si>
  <si>
    <t>2025-BMF-0038</t>
  </si>
  <si>
    <t>2025-BMF-0039</t>
  </si>
  <si>
    <t>2025-BMF-XXXX</t>
  </si>
  <si>
    <t>2025-BRC-0001</t>
  </si>
  <si>
    <t>2025-BRC-0002</t>
  </si>
  <si>
    <t>2025-BRC-0003</t>
  </si>
  <si>
    <t>2025-BRC-0004</t>
  </si>
  <si>
    <t>2025-BRC-0005</t>
  </si>
  <si>
    <t>2025-BRC-0006</t>
  </si>
  <si>
    <t>2025-BRC-0007</t>
  </si>
  <si>
    <t>2025-BRC-0008</t>
  </si>
  <si>
    <t>2025-BRC-0009</t>
  </si>
  <si>
    <t>2025-BRC-0010</t>
  </si>
  <si>
    <t>2025-BRC-0011</t>
  </si>
  <si>
    <t>2025-BRC-0012</t>
  </si>
  <si>
    <t>2025-BRC-0013</t>
  </si>
  <si>
    <t>2025-BRC-0014</t>
  </si>
  <si>
    <t>2025-BRC-0015</t>
  </si>
  <si>
    <t>2025-BRC-0016</t>
  </si>
  <si>
    <t>2025-BRC-0017</t>
  </si>
  <si>
    <t>2025-BRC-0018</t>
  </si>
  <si>
    <t>2025-BRC-0019</t>
  </si>
  <si>
    <t>2025-BRC-0020</t>
  </si>
  <si>
    <t>2025-BRC-0021</t>
  </si>
  <si>
    <t>2025-BRC-0022</t>
  </si>
  <si>
    <t>2025-BRC-0023</t>
  </si>
  <si>
    <t>2025-BRC-0024</t>
  </si>
  <si>
    <t>2025-BRC-0025</t>
  </si>
  <si>
    <t>2025-BRC-0026</t>
  </si>
  <si>
    <t>2025-BRC-0027</t>
  </si>
  <si>
    <t>2025-BRC-0028</t>
  </si>
  <si>
    <t>2025-BRC-0029</t>
  </si>
  <si>
    <t>2025-BRC-0030</t>
  </si>
  <si>
    <t>2025-BRC-0031</t>
  </si>
  <si>
    <t>2025-BRC-0032</t>
  </si>
  <si>
    <t>2025-BRC-0033</t>
  </si>
  <si>
    <t>2025-BRC-0034</t>
  </si>
  <si>
    <t>2025-BRC-0035</t>
  </si>
  <si>
    <t>2025-BRC-0036</t>
  </si>
  <si>
    <t>2025-BRC-0037</t>
  </si>
  <si>
    <t>2025-BRC-0038</t>
  </si>
  <si>
    <t>2025-BRC-0039</t>
  </si>
  <si>
    <t>2025-BRC-0040</t>
  </si>
  <si>
    <t>2025-BRC-0041</t>
  </si>
  <si>
    <t>2025-BRC-0042</t>
  </si>
  <si>
    <t>2025-BRE-0001</t>
  </si>
  <si>
    <t>2025-BRE-0002</t>
  </si>
  <si>
    <t>2025-BRE-0003</t>
  </si>
  <si>
    <t>2025-BRE-0004</t>
  </si>
  <si>
    <t>2025-BRE-0005</t>
  </si>
  <si>
    <t>2025-BRE-0006</t>
  </si>
  <si>
    <t>2025-BRE-0007</t>
  </si>
  <si>
    <t>2025-BRE-0008</t>
  </si>
  <si>
    <t>2025-BRE-0009</t>
  </si>
  <si>
    <t>2025-BRE-0010</t>
  </si>
  <si>
    <t>2025-BRE-0011</t>
  </si>
  <si>
    <t>2025-BRE-0012</t>
  </si>
  <si>
    <t>2025-BRE-0013</t>
  </si>
  <si>
    <t>2025-BRE-0014</t>
  </si>
  <si>
    <t>2025-BRE-0015</t>
  </si>
  <si>
    <t>2025-BRE-0016</t>
  </si>
  <si>
    <t>2025-BRE-0017</t>
  </si>
  <si>
    <t>2025-BRE-0018</t>
  </si>
  <si>
    <t>2025-BRE-0019</t>
  </si>
  <si>
    <t>2025-BRE-0020</t>
  </si>
  <si>
    <t>2025-BRE-0021</t>
  </si>
  <si>
    <t>2025-BRE-0022</t>
  </si>
  <si>
    <t>2025-BRE-0023</t>
  </si>
  <si>
    <t>2025-BRE-0024</t>
  </si>
  <si>
    <t>2025-BRE-0025</t>
  </si>
  <si>
    <t>2025-BRE-0026</t>
  </si>
  <si>
    <t>2025-BRE-0027</t>
  </si>
  <si>
    <t>2025-BRE-0028</t>
  </si>
  <si>
    <t>2025-BRE-0029</t>
  </si>
  <si>
    <t>2025-BRE-0030</t>
  </si>
  <si>
    <t>2025-BRE-0031</t>
  </si>
  <si>
    <t>2025-BRE-0032</t>
  </si>
  <si>
    <t>2025-BRE-0033</t>
  </si>
  <si>
    <t>2025-BRE-0034</t>
  </si>
  <si>
    <t>2025-BRE-0035</t>
  </si>
  <si>
    <t>2025-BRE-0036</t>
  </si>
  <si>
    <t>2025-BRE-0037</t>
  </si>
  <si>
    <t>2025-BRE-0038</t>
  </si>
  <si>
    <t>2025-BRE-0039</t>
  </si>
  <si>
    <t>2025-BRE-0040</t>
  </si>
  <si>
    <t>2025-BRE-0041</t>
  </si>
  <si>
    <t>2025-BRE-0042</t>
  </si>
  <si>
    <t>2025-BRE-0043</t>
  </si>
  <si>
    <t>2025-BRE-0044</t>
  </si>
  <si>
    <t>2025-BRE-0045</t>
  </si>
  <si>
    <t>2025-DIE-0001</t>
  </si>
  <si>
    <t>2025-BRE-0047</t>
  </si>
  <si>
    <t>2025-DIE-0002</t>
  </si>
  <si>
    <t>2025-DIE-0003</t>
  </si>
  <si>
    <t>2025-BRE-0050</t>
  </si>
  <si>
    <t>2025-BRE-0051</t>
  </si>
  <si>
    <t>2025-BRE-0052</t>
  </si>
  <si>
    <t>2025-BRE-0053</t>
  </si>
  <si>
    <t>2025-BRE-0054</t>
  </si>
  <si>
    <t>2025-BRE-0055</t>
  </si>
  <si>
    <t>2025-BRE-0056</t>
  </si>
  <si>
    <t>2025-BRE-0057</t>
  </si>
  <si>
    <t>2025-BRE-0058</t>
  </si>
  <si>
    <t>2025-BRE-0059</t>
  </si>
  <si>
    <t>2025-BRE-0060</t>
  </si>
  <si>
    <t>2025-BRE-0061</t>
  </si>
  <si>
    <t>2025-BRE-0062</t>
  </si>
  <si>
    <t>2025-BRE-0063</t>
  </si>
  <si>
    <t>2025-BRE-0064</t>
  </si>
  <si>
    <t>2025-BRE-0065</t>
  </si>
  <si>
    <t>2025-BRE-0066</t>
  </si>
  <si>
    <t>2025-BRE-0067</t>
  </si>
  <si>
    <t>2025-BRE-0068</t>
  </si>
  <si>
    <t>2025-BRE-0069</t>
  </si>
  <si>
    <t>2025-BRE-0070</t>
  </si>
  <si>
    <t>2025-BRE-0071</t>
  </si>
  <si>
    <t>2025-BRE-0072</t>
  </si>
  <si>
    <t>2025-BRE-0073</t>
  </si>
  <si>
    <t>2025-BRE-0074</t>
  </si>
  <si>
    <t>2025-BRE-0075</t>
  </si>
  <si>
    <t>2025-BRM-0034</t>
  </si>
  <si>
    <t>2025-BRM-0001</t>
  </si>
  <si>
    <t>2025-BRM-0002</t>
  </si>
  <si>
    <t>2025-BRM-0003</t>
  </si>
  <si>
    <t>2025-BRM-0004</t>
  </si>
  <si>
    <t>2025-BRM-0005</t>
  </si>
  <si>
    <t>2025-BRM-0006</t>
  </si>
  <si>
    <t>2025-BRM-0007</t>
  </si>
  <si>
    <t>2025-BRM-0008</t>
  </si>
  <si>
    <t>2025-BRM-0009</t>
  </si>
  <si>
    <t>2025-BRM-0010</t>
  </si>
  <si>
    <t>2025-BRM-0011</t>
  </si>
  <si>
    <t>2025-BRM-0012</t>
  </si>
  <si>
    <t>2025-BRM-0013</t>
  </si>
  <si>
    <t>2025-BRM-0014</t>
  </si>
  <si>
    <t>2025-BRM-0015</t>
  </si>
  <si>
    <t>2025-BRM-0016</t>
  </si>
  <si>
    <t>2025-BRM-0017</t>
  </si>
  <si>
    <t>2025-BRM-0018</t>
  </si>
  <si>
    <t>2025-BRM-0019</t>
  </si>
  <si>
    <t>2025-BRM-0020</t>
  </si>
  <si>
    <t>2025-BRM-0021</t>
  </si>
  <si>
    <t>2025-BRM-0022</t>
  </si>
  <si>
    <t>2025-BRM-0023</t>
  </si>
  <si>
    <t>2025-BRM-0024</t>
  </si>
  <si>
    <t>2025-BRM-0025</t>
  </si>
  <si>
    <t>2025-BRM-0026</t>
  </si>
  <si>
    <t>2025-BRM-0027</t>
  </si>
  <si>
    <t>2025-BRM-0028</t>
  </si>
  <si>
    <t>2025-BRM-0030</t>
  </si>
  <si>
    <t>2025-BRM-0031</t>
  </si>
  <si>
    <t>2025-BRM-0032</t>
  </si>
  <si>
    <t>2025-BRM-0033</t>
  </si>
  <si>
    <t>2025-BRM-0029</t>
  </si>
  <si>
    <t>2025-BRM-0035</t>
  </si>
  <si>
    <t>2025-BRM-0036</t>
  </si>
  <si>
    <t>2025-BRM-0037</t>
  </si>
  <si>
    <t>2025-BRM-0038</t>
  </si>
  <si>
    <t>2025-BRM-0039</t>
  </si>
  <si>
    <t>2025-BRM-0040</t>
  </si>
  <si>
    <t>2025-BRM-0041</t>
  </si>
  <si>
    <t>2025-BSMO-0001</t>
  </si>
  <si>
    <t>2025-BSMO-0002</t>
  </si>
  <si>
    <t>2025-BSMO-0003</t>
  </si>
  <si>
    <t>2025-BSMO-0004</t>
  </si>
  <si>
    <t>2025-BSMO-0005</t>
  </si>
  <si>
    <t>2025-BSMO-0006</t>
  </si>
  <si>
    <t>2025-BTIN-0001</t>
  </si>
  <si>
    <t>2025-BTIN-0002</t>
  </si>
  <si>
    <t>2025-BTIN-0003</t>
  </si>
  <si>
    <t>2025-BTIN-0004</t>
  </si>
  <si>
    <t>2025-BTIN-0005</t>
  </si>
  <si>
    <t>2025-BTIN-0006</t>
  </si>
  <si>
    <t>2025-BTIN-0007</t>
  </si>
  <si>
    <t>2025-BTIN-0008</t>
  </si>
  <si>
    <t>2025-DIE-0004</t>
  </si>
  <si>
    <t>2025-DIE-0005</t>
  </si>
  <si>
    <t>2025-DIE-0006</t>
  </si>
  <si>
    <t>2025-DIE-0007</t>
  </si>
  <si>
    <t>2025-DIE-0008</t>
  </si>
  <si>
    <t>2025-DIE-0009</t>
  </si>
  <si>
    <t>2025-DIE-0010</t>
  </si>
  <si>
    <t>2025-DIE-0011</t>
  </si>
  <si>
    <t>2025-DIE-0012</t>
  </si>
  <si>
    <t>2025-DIE-0013</t>
  </si>
  <si>
    <t>2025-DIE-0014</t>
  </si>
  <si>
    <t>2025-DIE-0015</t>
  </si>
  <si>
    <t>2025-DIE-0016</t>
  </si>
  <si>
    <t>2025-DIE-0017</t>
  </si>
  <si>
    <t>2025-DIE-0018</t>
  </si>
  <si>
    <t>2025-DIE-0019</t>
  </si>
  <si>
    <t>2025-DIE-0020</t>
  </si>
  <si>
    <t>2025-DIE-0021</t>
  </si>
  <si>
    <t>2025-DIE-0022</t>
  </si>
  <si>
    <t>2025-DIE-0023</t>
  </si>
  <si>
    <t>2025-DIE-0024</t>
  </si>
  <si>
    <t>2025-DIE-0025</t>
  </si>
  <si>
    <t>2025-DIE-0026</t>
  </si>
  <si>
    <t>2025-DIE-0027</t>
  </si>
  <si>
    <t>2025-DIE-0028</t>
  </si>
  <si>
    <t>2025-DIE-0029</t>
  </si>
  <si>
    <t>2025-DIE-0030</t>
  </si>
  <si>
    <t>2025-DIE-0031</t>
  </si>
  <si>
    <t>2025-DIE-0032</t>
  </si>
  <si>
    <t>2025-DIE-0033</t>
  </si>
  <si>
    <t>2025-DIE-0034</t>
  </si>
  <si>
    <t>2025-DIE-0035</t>
  </si>
  <si>
    <t>2025-DIE-0036</t>
  </si>
  <si>
    <t>2025-DIE-0037</t>
  </si>
  <si>
    <t>2025-DIE-0038</t>
  </si>
  <si>
    <t>2025-DIE-0039</t>
  </si>
  <si>
    <t>2025-DIE-0040</t>
  </si>
  <si>
    <t>2025-DIE-0041</t>
  </si>
  <si>
    <t>2025-DIE-0042</t>
  </si>
  <si>
    <t>2025-DIE-0043</t>
  </si>
  <si>
    <t>2025-DIE-0044</t>
  </si>
  <si>
    <t>2025-DIE-0045</t>
  </si>
  <si>
    <t>2025-DIE-0046</t>
  </si>
  <si>
    <t>2025-DIE-0047</t>
  </si>
  <si>
    <t>2025-DIE-0048</t>
  </si>
  <si>
    <t>2025-DIE-0049</t>
  </si>
  <si>
    <t>2025-DIE-0050</t>
  </si>
  <si>
    <t>2025-DIE-0051</t>
  </si>
  <si>
    <t>2025-DIE-0052</t>
  </si>
  <si>
    <t>2025-DIE-0053</t>
  </si>
  <si>
    <t>2025-DIE-0054</t>
  </si>
  <si>
    <t>2025-DIE-0055</t>
  </si>
  <si>
    <t>2025-DIE-0056</t>
  </si>
  <si>
    <t>2025-DIE-0057</t>
  </si>
  <si>
    <t>2025-DIE-0058</t>
  </si>
  <si>
    <t>2025-DIE-0059</t>
  </si>
  <si>
    <t>2025-DIE-0060</t>
  </si>
  <si>
    <t>2025-DIE-0061</t>
  </si>
  <si>
    <t>2025-DIE-0062</t>
  </si>
  <si>
    <t>2025-DIE-0063</t>
  </si>
  <si>
    <t>2025-DIE-0064</t>
  </si>
  <si>
    <t>2025-DIE-0065</t>
  </si>
  <si>
    <t>2025-DIE-0066</t>
  </si>
  <si>
    <t>2025-DIE-0067</t>
  </si>
  <si>
    <t>2025-DIE-0068</t>
  </si>
  <si>
    <t>2025-DIE-0069</t>
  </si>
  <si>
    <t>2025-DIE-0070</t>
  </si>
  <si>
    <t>2025-DIE-0071</t>
  </si>
  <si>
    <t>2025-DIE-0072</t>
  </si>
  <si>
    <t>2025-DIE-0073</t>
  </si>
  <si>
    <t>2025-DIE-0074</t>
  </si>
  <si>
    <t>2025-DIE-0075</t>
  </si>
  <si>
    <t>2025-DIE-0076</t>
  </si>
  <si>
    <t>2025-DIE-0077</t>
  </si>
  <si>
    <t>2025-DIE-0078</t>
  </si>
  <si>
    <t>2025-DIE-0079</t>
  </si>
  <si>
    <t>2025-DIE-0080</t>
  </si>
  <si>
    <t>2025-DIE-0081</t>
  </si>
  <si>
    <t>2025-DIE-0082</t>
  </si>
  <si>
    <t>2025-DIE-0083</t>
  </si>
  <si>
    <t>2025-DIE-0084</t>
  </si>
  <si>
    <t>2025-DIE-0085</t>
  </si>
  <si>
    <t>2025-DIE-0086</t>
  </si>
  <si>
    <t>2025-DIE-0087</t>
  </si>
  <si>
    <t>2025-DIE-0088</t>
  </si>
  <si>
    <t>2025-DIE-0089</t>
  </si>
  <si>
    <t>2025-DIE-0090</t>
  </si>
  <si>
    <t>2025-DIE-0091</t>
  </si>
  <si>
    <t>2025-DIE-0092</t>
  </si>
  <si>
    <t>2025-DIE-0093</t>
  </si>
  <si>
    <t>2025-DIE-0094</t>
  </si>
  <si>
    <t>2025-DIE-0095</t>
  </si>
  <si>
    <t>2025-DIE-0096</t>
  </si>
  <si>
    <t>2025-DIE-0097</t>
  </si>
  <si>
    <t>2025-DIE-0098</t>
  </si>
  <si>
    <t>2025-BMF-0040</t>
  </si>
  <si>
    <t>2025-EM-0001</t>
  </si>
  <si>
    <t>2025-EM-0002</t>
  </si>
  <si>
    <t>2025-EM-0003</t>
  </si>
  <si>
    <t>2025-EM-0004</t>
  </si>
  <si>
    <t>2025-EM-0005</t>
  </si>
  <si>
    <t>2025-EM-0006</t>
  </si>
  <si>
    <t>2025-EM-0007</t>
  </si>
  <si>
    <t>2025-EM-0008</t>
  </si>
  <si>
    <t>2025-EM-0009</t>
  </si>
  <si>
    <t>2025-LID-0001</t>
  </si>
  <si>
    <t>2025-LID-0002</t>
  </si>
  <si>
    <t>2025-LID-0003</t>
  </si>
  <si>
    <t>2025-LID-0004</t>
  </si>
  <si>
    <t>2025-LID-0005</t>
  </si>
  <si>
    <t>2025-LID-0006</t>
  </si>
  <si>
    <t>2025-LID-0007</t>
  </si>
  <si>
    <t>2025-LID-0008</t>
  </si>
  <si>
    <t>2025-LID-0009</t>
  </si>
  <si>
    <t>2025-LID-0010</t>
  </si>
  <si>
    <t>2025-LID-0011</t>
  </si>
  <si>
    <t>2025-LID-0012</t>
  </si>
  <si>
    <t>2025-LID-0013</t>
  </si>
  <si>
    <t xml:space="preserve">Date de saisie FEB : </t>
  </si>
  <si>
    <t>Marché</t>
  </si>
  <si>
    <t>Titulaire</t>
  </si>
  <si>
    <t>Numéro d'EJ</t>
  </si>
  <si>
    <t>AMADEUS2</t>
  </si>
  <si>
    <t>MAINCARE</t>
  </si>
  <si>
    <t>ANTARES</t>
  </si>
  <si>
    <t>ENNOVACOM</t>
  </si>
  <si>
    <t>AUTOCOMS</t>
  </si>
  <si>
    <t>SPIE</t>
  </si>
  <si>
    <t>KLEE CONSEIL &amp; INTEGRATION</t>
  </si>
  <si>
    <t>GE HEALTHCARE</t>
  </si>
  <si>
    <t>RESIP</t>
  </si>
  <si>
    <t>SPH</t>
  </si>
  <si>
    <t>TRYDEA</t>
  </si>
  <si>
    <t>DEMAT MUTUELLE</t>
  </si>
  <si>
    <t>DICTEE</t>
  </si>
  <si>
    <t>OCEATECH</t>
  </si>
  <si>
    <t>ENNOV</t>
  </si>
  <si>
    <t>SAMSIC SECURITE</t>
  </si>
  <si>
    <t>DALKIA</t>
  </si>
  <si>
    <t>SPIE FACILITIES</t>
  </si>
  <si>
    <t>CARL International</t>
  </si>
  <si>
    <t>HEMATOS CURSUS-VIGIE</t>
  </si>
  <si>
    <t>GPI France</t>
  </si>
  <si>
    <t>INFOGERANCE</t>
  </si>
  <si>
    <t>INETUM</t>
  </si>
  <si>
    <t>LIMS Lot 1</t>
  </si>
  <si>
    <t>BASSETTI</t>
  </si>
  <si>
    <t>LIMS Lot 2</t>
  </si>
  <si>
    <t>LSI</t>
  </si>
  <si>
    <t>MS-SANTE</t>
  </si>
  <si>
    <t>COMPUTER ENGINEERING</t>
  </si>
  <si>
    <t>VAL SOLUTIONS</t>
  </si>
  <si>
    <t>X-GIL COMPANY</t>
  </si>
  <si>
    <t xml:space="preserve">BERGER-LEVRAULT </t>
  </si>
  <si>
    <t>IN LOG</t>
  </si>
  <si>
    <t>SOPRA STERIA</t>
  </si>
  <si>
    <t>CORILUS</t>
  </si>
  <si>
    <t>SYNERGY</t>
  </si>
  <si>
    <t>TECHNIDATA</t>
  </si>
  <si>
    <t>NXO</t>
  </si>
  <si>
    <t xml:space="preserve">Support contractuel : </t>
  </si>
  <si>
    <t>UGAP</t>
  </si>
  <si>
    <t>Commande simple</t>
  </si>
  <si>
    <t>ANF</t>
  </si>
  <si>
    <t>Concatenation EJ Marché</t>
  </si>
  <si>
    <t>GARDIENNAGE</t>
  </si>
  <si>
    <t>MAINTENANCE CVC</t>
  </si>
  <si>
    <t>MAINTENANCE ELEC</t>
  </si>
  <si>
    <t>GCS BAHIA</t>
  </si>
  <si>
    <t>Autre</t>
  </si>
  <si>
    <t>DSD-BRC-2024-11</t>
  </si>
  <si>
    <t>Ref budgétaire</t>
  </si>
  <si>
    <t>SYSTÈME</t>
  </si>
  <si>
    <t>Regroupement budgétaire</t>
  </si>
  <si>
    <t xml:space="preserve">Ref. besoin : 
OBLIGATOIRE </t>
  </si>
  <si>
    <t>Intitulé Projet :</t>
  </si>
  <si>
    <t>Date de livraison prévisionnelle</t>
  </si>
  <si>
    <t>TVA</t>
  </si>
  <si>
    <t>TVA :</t>
  </si>
  <si>
    <t>Montant total TVA</t>
  </si>
  <si>
    <t>DSIN-S
Division SI Opérations
Bureau Médecine des Forces
69 avenue de Paris
94165 Saint Mandé Cedex</t>
  </si>
  <si>
    <t>{{nom_rcp}}</t>
  </si>
  <si>
    <t>{{intitule_projet}}</t>
  </si>
  <si>
    <t>{{intitule_operation}}</t>
  </si>
  <si>
    <t>{{date_feb}}</t>
  </si>
  <si>
    <t>{{support_contractuel}}</t>
  </si>
  <si>
    <t>{{reference_besoin}}</t>
  </si>
  <si>
    <t>{{reference_ligne}}</t>
  </si>
  <si>
    <t>{{titulaire}}</t>
  </si>
  <si>
    <t>{{interlocuteur}}</t>
  </si>
  <si>
    <t>{{adresse}}</t>
  </si>
  <si>
    <t>{{cp}}</t>
  </si>
  <si>
    <t>{{ville}}</t>
  </si>
  <si>
    <t>{{telephone}}</t>
  </si>
  <si>
    <t>{{mail}}</t>
  </si>
  <si>
    <t>{{ref_bpu_ligne1}}</t>
  </si>
  <si>
    <t>{{ref_bpu_ligne2}}</t>
  </si>
  <si>
    <t>{{ref_bpu_ligne3}}</t>
  </si>
  <si>
    <t>{{ref_bpu_ligne4}}</t>
  </si>
  <si>
    <t>{{ref_bpu_ligne5}}</t>
  </si>
  <si>
    <t>{{ref_bpu_ligne6}}</t>
  </si>
  <si>
    <t>{{ref_bpu_ligne7}}</t>
  </si>
  <si>
    <t>{{date_livraison_ligne1}}</t>
  </si>
  <si>
    <t>{{date_livraison_ligne2}}</t>
  </si>
  <si>
    <t>{{date_livraison_ligne3}}</t>
  </si>
  <si>
    <t>{{date_livraison_ligne4}}</t>
  </si>
  <si>
    <t>{{date_livraison_ligne5}}</t>
  </si>
  <si>
    <t>{{date_livraison_ligne6}}</t>
  </si>
  <si>
    <t>{{date_livraison_ligne7}}</t>
  </si>
  <si>
    <t>{{prix_HT_ligne1}}</t>
  </si>
  <si>
    <t>{{prix_HT_ligne2}}</t>
  </si>
  <si>
    <t>{{prix_HT_ligne3}}</t>
  </si>
  <si>
    <t>{{prix_HT_ligne5}}</t>
  </si>
  <si>
    <t>{{prix_HT_ligne6}}</t>
  </si>
  <si>
    <t>{{prix_HT_ligne7}}</t>
  </si>
  <si>
    <t>{{quantite_ligne1}}</t>
  </si>
  <si>
    <t>{{quantite_ligne2}}</t>
  </si>
  <si>
    <t>{{quantite_ligne3}}</t>
  </si>
  <si>
    <t>{{quantite_ligne4}}</t>
  </si>
  <si>
    <t>{{quantite_ligne5}}</t>
  </si>
  <si>
    <t>{{quantite_ligne6}}</t>
  </si>
  <si>
    <t>{{quantite_ligne7}}</t>
  </si>
  <si>
    <t>{{observations}}</t>
  </si>
  <si>
    <t>N°{{num_feb}}</t>
  </si>
  <si>
    <t>{{prix_HT_ligne4}}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</si>
</sst>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b/>
      <sz val="10"/>
      <color rgb="FF00CC99"/>
      <name val="Arial"/>
      <family val="2"/>
    </font>
    <font>
      <b/>
      <sz val="9"/>
      <name val="Calibri"/>
      <family val="2"/>
      <scheme val="minor"/>
    </font>
    <font>
      <b/>
      <sz val="9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0"/>
      <name val="Arial"/>
      <family val="2"/>
    </font>
    <font>
      <sz val="9"/>
      <color rgb="FF2C36FC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indexed="81"/>
      <name val="Arial"/>
      <family val="2"/>
    </font>
    <font>
      <b/>
      <sz val="9"/>
      <color indexed="81"/>
      <name val="Arial"/>
      <family val="2"/>
    </font>
    <font>
      <sz val="9"/>
      <color indexed="81"/>
      <name val="Arial"/>
      <family val="2"/>
    </font>
    <font>
      <b/>
      <sz val="10"/>
      <color rgb="FFFFFFFF"/>
      <name val="Calibri"/>
      <family val="2"/>
    </font>
    <font>
      <i/>
      <sz val="9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7"/>
      <name val="Arial"/>
      <family val="2"/>
    </font>
    <font>
      <u/>
      <sz val="11"/>
      <color theme="10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8"/>
      <color theme="8" tint="-0.249977111117893"/>
      <name val="Arial"/>
      <family val="2"/>
    </font>
    <font>
      <sz val="9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10252"/>
        <bgColor rgb="FF000000"/>
      </patternFill>
    </fill>
    <fill>
      <patternFill patternType="solid">
        <fgColor theme="2" tint="-9.9978637043366805E-2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theme="8"/>
      </top>
      <bottom style="medium">
        <color rgb="FFC00000"/>
      </bottom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143">
    <xf numFmtId="0" fontId="0" fillId="0" borderId="0" xfId="0"/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4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40" xfId="0" applyFont="1" applyBorder="1" applyAlignment="1">
      <alignment horizontal="right" vertical="center" wrapText="1"/>
    </xf>
    <xf numFmtId="0" fontId="9" fillId="0" borderId="0" xfId="0" applyFont="1"/>
    <xf numFmtId="0" fontId="7" fillId="0" borderId="18" xfId="0" applyFont="1" applyBorder="1" applyAlignment="1">
      <alignment horizontal="right" vertical="center" wrapText="1"/>
    </xf>
    <xf numFmtId="0" fontId="7" fillId="0" borderId="41" xfId="0" applyFont="1" applyBorder="1" applyAlignment="1">
      <alignment horizontal="right" vertical="center" wrapText="1"/>
    </xf>
    <xf numFmtId="0" fontId="7" fillId="0" borderId="37" xfId="0" applyFont="1" applyBorder="1" applyAlignment="1">
      <alignment horizontal="right" vertical="center" wrapText="1" indent="1"/>
    </xf>
    <xf numFmtId="0" fontId="7" fillId="0" borderId="38" xfId="0" applyFont="1" applyBorder="1" applyAlignment="1">
      <alignment horizontal="right" vertical="center" wrapText="1" indent="1"/>
    </xf>
    <xf numFmtId="0" fontId="7" fillId="0" borderId="39" xfId="0" applyFont="1" applyBorder="1" applyAlignment="1">
      <alignment horizontal="right" vertical="center" wrapText="1" indent="1"/>
    </xf>
    <xf numFmtId="0" fontId="7" fillId="0" borderId="7" xfId="0" applyFont="1" applyBorder="1" applyAlignment="1">
      <alignment vertical="top"/>
    </xf>
    <xf numFmtId="0" fontId="7" fillId="0" borderId="0" xfId="0" applyFont="1" applyAlignment="1">
      <alignment vertical="center"/>
    </xf>
    <xf numFmtId="164" fontId="7" fillId="4" borderId="6" xfId="1" applyFont="1" applyFill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0" fontId="16" fillId="0" borderId="3" xfId="0" applyFont="1" applyBorder="1" applyAlignment="1">
      <alignment horizontal="center" vertical="center"/>
    </xf>
    <xf numFmtId="0" fontId="10" fillId="3" borderId="36" xfId="0" applyFont="1" applyFill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Continuous" vertical="center" wrapText="1"/>
    </xf>
    <xf numFmtId="0" fontId="7" fillId="0" borderId="6" xfId="0" applyFont="1" applyBorder="1" applyAlignment="1">
      <alignment horizontal="center" vertical="center" wrapText="1"/>
    </xf>
    <xf numFmtId="164" fontId="5" fillId="0" borderId="0" xfId="0" applyNumberFormat="1" applyFont="1" applyAlignment="1">
      <alignment vertical="center"/>
    </xf>
    <xf numFmtId="0" fontId="15" fillId="0" borderId="33" xfId="0" applyFont="1" applyBorder="1" applyAlignment="1">
      <alignment vertical="center"/>
    </xf>
    <xf numFmtId="0" fontId="10" fillId="3" borderId="27" xfId="0" applyFont="1" applyFill="1" applyBorder="1" applyAlignment="1" applyProtection="1">
      <alignment horizontal="center" vertical="center" wrapText="1"/>
      <protection locked="0"/>
    </xf>
    <xf numFmtId="164" fontId="7" fillId="4" borderId="27" xfId="1" applyFont="1" applyFill="1" applyBorder="1" applyAlignment="1">
      <alignment horizontal="right" vertical="center" wrapText="1"/>
    </xf>
    <xf numFmtId="0" fontId="15" fillId="0" borderId="0" xfId="0" applyFont="1" applyAlignment="1">
      <alignment vertical="center"/>
    </xf>
    <xf numFmtId="0" fontId="15" fillId="0" borderId="2" xfId="0" applyFont="1" applyBorder="1" applyAlignment="1">
      <alignment vertical="center"/>
    </xf>
    <xf numFmtId="0" fontId="11" fillId="2" borderId="15" xfId="0" applyFont="1" applyFill="1" applyBorder="1" applyAlignment="1">
      <alignment horizontal="left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0" fontId="0" fillId="0" borderId="0" xfId="0" applyAlignment="1">
      <alignment vertical="center"/>
    </xf>
    <xf numFmtId="0" fontId="24" fillId="5" borderId="52" xfId="0" applyFont="1" applyFill="1" applyBorder="1" applyAlignment="1">
      <alignment horizontal="center" vertical="center" wrapText="1"/>
    </xf>
    <xf numFmtId="0" fontId="24" fillId="5" borderId="53" xfId="0" applyFont="1" applyFill="1" applyBorder="1" applyAlignment="1">
      <alignment horizontal="center" vertical="center" wrapText="1"/>
    </xf>
    <xf numFmtId="14" fontId="20" fillId="3" borderId="31" xfId="0" applyNumberFormat="1" applyFont="1" applyFill="1" applyBorder="1" applyAlignment="1" applyProtection="1">
      <alignment horizontal="center" vertical="center" wrapText="1"/>
      <protection locked="0"/>
    </xf>
    <xf numFmtId="14" fontId="20" fillId="3" borderId="44" xfId="0" applyNumberFormat="1" applyFont="1" applyFill="1" applyBorder="1" applyAlignment="1" applyProtection="1">
      <alignment horizontal="center" vertical="center" wrapText="1"/>
      <protection locked="0"/>
    </xf>
    <xf numFmtId="164" fontId="10" fillId="3" borderId="30" xfId="1" applyFont="1" applyFill="1" applyBorder="1" applyAlignment="1" applyProtection="1">
      <alignment horizontal="center" vertical="center" wrapText="1"/>
      <protection locked="0"/>
    </xf>
    <xf numFmtId="164" fontId="10" fillId="3" borderId="50" xfId="1" applyFont="1" applyFill="1" applyBorder="1" applyAlignment="1" applyProtection="1">
      <alignment horizontal="center" vertical="center" wrapText="1"/>
      <protection locked="0"/>
    </xf>
    <xf numFmtId="1" fontId="10" fillId="3" borderId="27" xfId="0" applyNumberFormat="1" applyFont="1" applyFill="1" applyBorder="1" applyAlignment="1" applyProtection="1">
      <alignment horizontal="center" vertical="center" wrapText="1"/>
      <protection locked="0"/>
    </xf>
    <xf numFmtId="1" fontId="10" fillId="3" borderId="36" xfId="0" applyNumberFormat="1" applyFont="1" applyFill="1" applyBorder="1" applyAlignment="1" applyProtection="1">
      <alignment horizontal="center" vertical="center" wrapText="1"/>
      <protection locked="0"/>
    </xf>
    <xf numFmtId="10" fontId="25" fillId="3" borderId="30" xfId="2" applyNumberFormat="1" applyFont="1" applyFill="1" applyBorder="1" applyAlignment="1" applyProtection="1">
      <alignment horizontal="center" vertical="center" wrapText="1"/>
      <protection locked="0"/>
    </xf>
    <xf numFmtId="10" fontId="25" fillId="3" borderId="50" xfId="2" applyNumberFormat="1" applyFont="1" applyFill="1" applyBorder="1" applyAlignment="1" applyProtection="1">
      <alignment horizontal="center" vertical="center" wrapText="1"/>
      <protection locked="0"/>
    </xf>
    <xf numFmtId="10" fontId="25" fillId="3" borderId="51" xfId="2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>
      <alignment horizontal="center" vertical="center" wrapText="1"/>
    </xf>
    <xf numFmtId="164" fontId="26" fillId="0" borderId="0" xfId="1" applyFont="1"/>
    <xf numFmtId="164" fontId="7" fillId="4" borderId="14" xfId="1" applyFont="1" applyFill="1" applyBorder="1" applyAlignment="1">
      <alignment horizontal="right" vertical="center"/>
    </xf>
    <xf numFmtId="0" fontId="10" fillId="3" borderId="12" xfId="0" applyFont="1" applyFill="1" applyBorder="1" applyAlignment="1" applyProtection="1">
      <alignment horizontal="center" vertical="center" wrapText="1"/>
      <protection locked="0"/>
    </xf>
    <xf numFmtId="14" fontId="20" fillId="3" borderId="11" xfId="0" applyNumberFormat="1" applyFont="1" applyFill="1" applyBorder="1" applyAlignment="1" applyProtection="1">
      <alignment horizontal="center" vertical="center" wrapText="1"/>
      <protection locked="0"/>
    </xf>
    <xf numFmtId="164" fontId="10" fillId="3" borderId="51" xfId="1" applyFont="1" applyFill="1" applyBorder="1" applyAlignment="1" applyProtection="1">
      <alignment horizontal="center" vertical="center" wrapText="1"/>
      <protection locked="0"/>
    </xf>
    <xf numFmtId="1" fontId="10" fillId="3" borderId="12" xfId="0" applyNumberFormat="1" applyFont="1" applyFill="1" applyBorder="1" applyAlignment="1" applyProtection="1">
      <alignment horizontal="center" vertical="center" wrapText="1"/>
      <protection locked="0"/>
    </xf>
    <xf numFmtId="164" fontId="7" fillId="4" borderId="3" xfId="1" applyFont="1" applyFill="1" applyBorder="1" applyAlignment="1">
      <alignment horizontal="right" vertical="center" wrapText="1"/>
    </xf>
    <xf numFmtId="14" fontId="15" fillId="0" borderId="6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right" vertical="center" wrapText="1"/>
    </xf>
    <xf numFmtId="0" fontId="7" fillId="0" borderId="43" xfId="0" applyFont="1" applyBorder="1" applyAlignment="1">
      <alignment horizontal="right" vertical="center" wrapText="1"/>
    </xf>
    <xf numFmtId="0" fontId="8" fillId="3" borderId="23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31" xfId="0" applyFont="1" applyBorder="1" applyAlignment="1">
      <alignment horizontal="right" vertical="center" wrapText="1"/>
    </xf>
    <xf numFmtId="0" fontId="7" fillId="0" borderId="42" xfId="0" applyFont="1" applyBorder="1" applyAlignment="1">
      <alignment horizontal="right" vertical="center" wrapText="1"/>
    </xf>
    <xf numFmtId="14" fontId="8" fillId="4" borderId="21" xfId="0" applyNumberFormat="1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8" fillId="6" borderId="23" xfId="0" applyFont="1" applyFill="1" applyBorder="1" applyAlignment="1">
      <alignment horizontal="center" vertical="center"/>
    </xf>
    <xf numFmtId="0" fontId="8" fillId="6" borderId="28" xfId="0" applyFont="1" applyFill="1" applyBorder="1" applyAlignment="1">
      <alignment horizontal="center" vertical="center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0" fontId="27" fillId="3" borderId="24" xfId="0" applyFont="1" applyFill="1" applyBorder="1" applyAlignment="1">
      <alignment horizontal="center" vertical="center" wrapText="1"/>
    </xf>
    <xf numFmtId="0" fontId="27" fillId="3" borderId="28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17" fillId="3" borderId="34" xfId="0" applyFont="1" applyFill="1" applyBorder="1" applyAlignment="1">
      <alignment horizontal="center" vertical="center" wrapText="1"/>
    </xf>
    <xf numFmtId="0" fontId="17" fillId="3" borderId="35" xfId="0" applyFont="1" applyFill="1" applyBorder="1" applyAlignment="1">
      <alignment horizontal="center" vertical="center" wrapText="1"/>
    </xf>
    <xf numFmtId="0" fontId="17" fillId="3" borderId="36" xfId="0" applyFont="1" applyFill="1" applyBorder="1" applyAlignment="1">
      <alignment horizontal="center" vertical="center" wrapText="1"/>
    </xf>
    <xf numFmtId="0" fontId="29" fillId="3" borderId="25" xfId="3" applyFont="1" applyFill="1" applyBorder="1" applyAlignment="1">
      <alignment horizontal="center" vertical="center" wrapText="1"/>
    </xf>
    <xf numFmtId="0" fontId="30" fillId="3" borderId="26" xfId="0" applyFont="1" applyFill="1" applyBorder="1" applyAlignment="1">
      <alignment horizontal="center" vertical="center" wrapText="1"/>
    </xf>
    <xf numFmtId="0" fontId="30" fillId="3" borderId="29" xfId="0" applyFont="1" applyFill="1" applyBorder="1" applyAlignment="1">
      <alignment horizontal="center" vertical="center" wrapText="1"/>
    </xf>
    <xf numFmtId="0" fontId="20" fillId="0" borderId="45" xfId="0" applyFont="1" applyBorder="1" applyAlignment="1">
      <alignment horizontal="right" vertical="center" wrapText="1"/>
    </xf>
    <xf numFmtId="0" fontId="20" fillId="0" borderId="46" xfId="0" applyFont="1" applyBorder="1" applyAlignment="1">
      <alignment horizontal="right" vertical="center" wrapText="1"/>
    </xf>
    <xf numFmtId="0" fontId="8" fillId="3" borderId="47" xfId="0" applyFont="1" applyFill="1" applyBorder="1" applyAlignment="1" applyProtection="1">
      <alignment horizontal="center" vertical="center" wrapText="1"/>
      <protection locked="0"/>
    </xf>
    <xf numFmtId="0" fontId="8" fillId="3" borderId="48" xfId="0" applyFont="1" applyFill="1" applyBorder="1" applyAlignment="1" applyProtection="1">
      <alignment horizontal="center" vertical="center" wrapText="1"/>
      <protection locked="0"/>
    </xf>
    <xf numFmtId="0" fontId="8" fillId="3" borderId="49" xfId="0" applyFont="1" applyFill="1" applyBorder="1" applyAlignment="1" applyProtection="1">
      <alignment horizontal="center" vertical="center" wrapText="1"/>
      <protection locked="0"/>
    </xf>
    <xf numFmtId="0" fontId="6" fillId="0" borderId="13" xfId="0" applyFont="1" applyBorder="1" applyAlignment="1">
      <alignment horizontal="center" vertical="center" textRotation="90" wrapText="1"/>
    </xf>
    <xf numFmtId="0" fontId="6" fillId="0" borderId="33" xfId="0" applyFont="1" applyBorder="1" applyAlignment="1">
      <alignment horizontal="center" vertical="center" textRotation="90" wrapText="1"/>
    </xf>
    <xf numFmtId="0" fontId="6" fillId="0" borderId="14" xfId="0" applyFont="1" applyBorder="1" applyAlignment="1">
      <alignment horizontal="center" vertical="center" textRotation="90" wrapText="1"/>
    </xf>
    <xf numFmtId="0" fontId="8" fillId="6" borderId="24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 wrapText="1"/>
    </xf>
    <xf numFmtId="0" fontId="18" fillId="0" borderId="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9" fillId="3" borderId="31" xfId="0" applyFont="1" applyFill="1" applyBorder="1" applyAlignment="1" applyProtection="1">
      <alignment vertical="center" wrapText="1"/>
      <protection locked="0"/>
    </xf>
    <xf numFmtId="0" fontId="19" fillId="3" borderId="22" xfId="0" applyFont="1" applyFill="1" applyBorder="1" applyAlignment="1" applyProtection="1">
      <alignment vertical="center" wrapText="1"/>
      <protection locked="0"/>
    </xf>
    <xf numFmtId="0" fontId="19" fillId="3" borderId="27" xfId="0" applyFont="1" applyFill="1" applyBorder="1" applyAlignment="1" applyProtection="1">
      <alignment vertical="center" wrapText="1"/>
      <protection locked="0"/>
    </xf>
    <xf numFmtId="0" fontId="19" fillId="3" borderId="44" xfId="0" applyFont="1" applyFill="1" applyBorder="1" applyAlignment="1" applyProtection="1">
      <alignment vertical="center" wrapText="1"/>
      <protection locked="0"/>
    </xf>
    <xf numFmtId="0" fontId="19" fillId="3" borderId="35" xfId="0" applyFont="1" applyFill="1" applyBorder="1" applyAlignment="1" applyProtection="1">
      <alignment vertical="center" wrapText="1"/>
      <protection locked="0"/>
    </xf>
    <xf numFmtId="0" fontId="19" fillId="3" borderId="36" xfId="0" applyFont="1" applyFill="1" applyBorder="1" applyAlignment="1" applyProtection="1">
      <alignment vertical="center" wrapText="1"/>
      <protection locked="0"/>
    </xf>
    <xf numFmtId="0" fontId="19" fillId="3" borderId="11" xfId="0" applyFont="1" applyFill="1" applyBorder="1" applyAlignment="1" applyProtection="1">
      <alignment vertical="center" wrapText="1"/>
      <protection locked="0"/>
    </xf>
    <xf numFmtId="0" fontId="19" fillId="3" borderId="5" xfId="0" applyFont="1" applyFill="1" applyBorder="1" applyAlignment="1" applyProtection="1">
      <alignment vertical="center" wrapText="1"/>
      <protection locked="0"/>
    </xf>
    <xf numFmtId="0" fontId="19" fillId="3" borderId="12" xfId="0" applyFont="1" applyFill="1" applyBorder="1" applyAlignment="1" applyProtection="1">
      <alignment vertical="center" wrapText="1"/>
      <protection locked="0"/>
    </xf>
    <xf numFmtId="0" fontId="15" fillId="0" borderId="13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4">
    <cellStyle name="Lien hypertexte" xfId="3" builtinId="8"/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colors>
    <mruColors>
      <color rgb="FFCC00CC"/>
      <color rgb="FFFF00FF"/>
      <color rgb="FF00CC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ephane.duschenes@kleegroup.com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B1:N41"/>
  <sheetViews>
    <sheetView showGridLines="0" tabSelected="1" view="pageBreakPreview" topLeftCell="A10" zoomScale="160" zoomScaleNormal="100" zoomScaleSheetLayoutView="160" zoomScalePageLayoutView="90" workbookViewId="0">
      <selection activeCell="H19" sqref="H19"/>
    </sheetView>
  </sheetViews>
  <sheetFormatPr baseColWidth="10" defaultRowHeight="15" x14ac:dyDescent="0.2"/>
  <cols>
    <col min="1" max="1" width="2.5" customWidth="1"/>
    <col min="2" max="2" width="18.83203125" customWidth="1"/>
    <col min="3" max="3" width="8.33203125" customWidth="1"/>
    <col min="4" max="4" width="31.33203125" customWidth="1"/>
    <col min="5" max="5" width="7.5" customWidth="1"/>
    <col min="6" max="6" width="10.83203125" customWidth="1"/>
    <col min="7" max="7" width="11.83203125" customWidth="1"/>
    <col min="8" max="8" width="12.83203125" customWidth="1"/>
    <col min="9" max="9" width="7.33203125" customWidth="1"/>
    <col min="10" max="10" width="6.5" customWidth="1"/>
    <col min="11" max="11" width="13" customWidth="1"/>
    <col min="12" max="12" width="1.83203125" customWidth="1"/>
  </cols>
  <sheetData>
    <row r="1" spans="2:11" ht="16" thickBot="1" x14ac:dyDescent="0.25"/>
    <row r="2" spans="2:11" ht="27" customHeight="1" thickBot="1" x14ac:dyDescent="0.25">
      <c r="B2" s="59" t="s">
        <v>14</v>
      </c>
      <c r="C2" s="60"/>
      <c r="D2" s="60"/>
      <c r="E2" s="60"/>
      <c r="F2" s="60"/>
      <c r="G2" s="60"/>
      <c r="H2" s="60"/>
      <c r="I2" s="60"/>
      <c r="J2" s="60"/>
      <c r="K2" s="30" t="s">
        <v>921</v>
      </c>
    </row>
    <row r="3" spans="2:11" ht="12.75" customHeight="1" thickBot="1" x14ac:dyDescent="0.25">
      <c r="B3" s="61"/>
      <c r="C3" s="61"/>
      <c r="D3" s="61"/>
      <c r="E3" s="61"/>
      <c r="F3" s="61"/>
      <c r="G3" s="61"/>
      <c r="H3" s="61"/>
      <c r="I3" s="61"/>
      <c r="J3" s="61"/>
      <c r="K3" s="62"/>
    </row>
    <row r="4" spans="2:11" ht="21" customHeight="1" x14ac:dyDescent="0.2">
      <c r="B4" s="8" t="s">
        <v>17</v>
      </c>
      <c r="C4" s="63" t="s">
        <v>879</v>
      </c>
      <c r="D4" s="64"/>
      <c r="E4" s="9"/>
      <c r="F4" s="9"/>
      <c r="G4" s="65" t="s">
        <v>816</v>
      </c>
      <c r="H4" s="66"/>
      <c r="I4" s="67" t="s">
        <v>882</v>
      </c>
      <c r="J4" s="68"/>
      <c r="K4" s="69"/>
    </row>
    <row r="5" spans="2:11" ht="21.75" customHeight="1" x14ac:dyDescent="0.2">
      <c r="B5" s="10" t="s">
        <v>873</v>
      </c>
      <c r="C5" s="70" t="s">
        <v>880</v>
      </c>
      <c r="D5" s="71"/>
      <c r="E5" s="9"/>
      <c r="F5" s="9"/>
      <c r="G5" s="54" t="s">
        <v>858</v>
      </c>
      <c r="H5" s="55"/>
      <c r="I5" s="56" t="s">
        <v>883</v>
      </c>
      <c r="J5" s="57"/>
      <c r="K5" s="58"/>
    </row>
    <row r="6" spans="2:11" ht="24" customHeight="1" thickBot="1" x14ac:dyDescent="0.25">
      <c r="B6" s="11" t="s">
        <v>0</v>
      </c>
      <c r="C6" s="81" t="s">
        <v>881</v>
      </c>
      <c r="D6" s="82"/>
      <c r="E6" s="9"/>
      <c r="F6" s="9"/>
      <c r="G6" s="89" t="s">
        <v>872</v>
      </c>
      <c r="H6" s="90"/>
      <c r="I6" s="91" t="s">
        <v>884</v>
      </c>
      <c r="J6" s="92"/>
      <c r="K6" s="93"/>
    </row>
    <row r="7" spans="2:11" ht="24" customHeight="1" x14ac:dyDescent="0.2">
      <c r="B7" s="32"/>
      <c r="C7" s="32"/>
      <c r="D7" s="32"/>
      <c r="E7" s="32"/>
      <c r="F7" s="9"/>
      <c r="G7" s="54" t="s">
        <v>23</v>
      </c>
      <c r="H7" s="55"/>
      <c r="I7" s="70" t="s">
        <v>885</v>
      </c>
      <c r="J7" s="97"/>
      <c r="K7" s="71"/>
    </row>
    <row r="8" spans="2:11" ht="39.75" customHeight="1" thickBot="1" x14ac:dyDescent="0.25">
      <c r="B8" s="1"/>
      <c r="C8" s="1"/>
      <c r="D8" s="2"/>
      <c r="E8" s="2"/>
      <c r="F8" s="2"/>
      <c r="G8" s="2"/>
      <c r="H8" s="2"/>
      <c r="I8" s="2"/>
      <c r="J8" s="2"/>
      <c r="K8" s="3"/>
    </row>
    <row r="9" spans="2:11" ht="15" customHeight="1" x14ac:dyDescent="0.2">
      <c r="B9" s="15" t="s">
        <v>15</v>
      </c>
      <c r="C9" s="4"/>
      <c r="D9" s="5"/>
      <c r="G9" s="94" t="s">
        <v>16</v>
      </c>
      <c r="H9" s="12" t="s">
        <v>18</v>
      </c>
      <c r="I9" s="98" t="s">
        <v>886</v>
      </c>
      <c r="J9" s="99"/>
      <c r="K9" s="100"/>
    </row>
    <row r="10" spans="2:11" ht="14.25" customHeight="1" x14ac:dyDescent="0.2">
      <c r="B10" s="101" t="s">
        <v>920</v>
      </c>
      <c r="C10" s="102"/>
      <c r="D10" s="103"/>
      <c r="G10" s="95"/>
      <c r="H10" s="13" t="s">
        <v>1</v>
      </c>
      <c r="I10" s="72" t="s">
        <v>887</v>
      </c>
      <c r="J10" s="73"/>
      <c r="K10" s="74"/>
    </row>
    <row r="11" spans="2:11" ht="18.75" customHeight="1" x14ac:dyDescent="0.2">
      <c r="B11" s="104"/>
      <c r="C11" s="102"/>
      <c r="D11" s="103"/>
      <c r="G11" s="95"/>
      <c r="H11" s="13" t="s">
        <v>2</v>
      </c>
      <c r="I11" s="75" t="s">
        <v>888</v>
      </c>
      <c r="J11" s="76"/>
      <c r="K11" s="77"/>
    </row>
    <row r="12" spans="2:11" ht="13.5" customHeight="1" x14ac:dyDescent="0.2">
      <c r="B12" s="104"/>
      <c r="C12" s="102"/>
      <c r="D12" s="103"/>
      <c r="G12" s="95"/>
      <c r="H12" s="13" t="s">
        <v>3</v>
      </c>
      <c r="I12" s="72" t="s">
        <v>889</v>
      </c>
      <c r="J12" s="73"/>
      <c r="K12" s="74"/>
    </row>
    <row r="13" spans="2:11" ht="13.5" customHeight="1" x14ac:dyDescent="0.2">
      <c r="B13" s="104"/>
      <c r="C13" s="102"/>
      <c r="D13" s="103"/>
      <c r="G13" s="95"/>
      <c r="H13" s="13" t="s">
        <v>19</v>
      </c>
      <c r="I13" s="83" t="s">
        <v>890</v>
      </c>
      <c r="J13" s="84"/>
      <c r="K13" s="85"/>
    </row>
    <row r="14" spans="2:11" ht="13.5" customHeight="1" x14ac:dyDescent="0.2">
      <c r="B14" s="104"/>
      <c r="C14" s="102"/>
      <c r="D14" s="103"/>
      <c r="G14" s="95"/>
      <c r="H14" s="13" t="s">
        <v>4</v>
      </c>
      <c r="I14" s="72" t="s">
        <v>891</v>
      </c>
      <c r="J14" s="73"/>
      <c r="K14" s="74"/>
    </row>
    <row r="15" spans="2:11" ht="22.5" customHeight="1" thickBot="1" x14ac:dyDescent="0.25">
      <c r="B15" s="105"/>
      <c r="C15" s="106"/>
      <c r="D15" s="107"/>
      <c r="G15" s="96"/>
      <c r="H15" s="14" t="s">
        <v>5</v>
      </c>
      <c r="I15" s="86" t="s">
        <v>892</v>
      </c>
      <c r="J15" s="87"/>
      <c r="K15" s="88"/>
    </row>
    <row r="16" spans="2:11" ht="35.25" customHeight="1" thickBot="1" x14ac:dyDescent="0.25">
      <c r="B16" s="1"/>
      <c r="C16" s="7"/>
      <c r="D16" s="7"/>
      <c r="E16" s="7"/>
      <c r="F16" s="7"/>
      <c r="G16" s="7"/>
      <c r="H16" s="7"/>
      <c r="I16" s="7"/>
      <c r="J16" s="7"/>
      <c r="K16" s="7"/>
    </row>
    <row r="17" spans="2:14" ht="60.75" customHeight="1" thickBot="1" x14ac:dyDescent="0.25">
      <c r="B17" s="22" t="s">
        <v>6</v>
      </c>
      <c r="C17" s="108" t="s">
        <v>7</v>
      </c>
      <c r="D17" s="109"/>
      <c r="E17" s="110"/>
      <c r="F17" s="21" t="s">
        <v>8</v>
      </c>
      <c r="G17" s="23" t="s">
        <v>874</v>
      </c>
      <c r="H17" s="31" t="s">
        <v>9</v>
      </c>
      <c r="I17" s="23" t="s">
        <v>10</v>
      </c>
      <c r="J17" s="23" t="s">
        <v>875</v>
      </c>
      <c r="K17" s="23" t="s">
        <v>11</v>
      </c>
      <c r="N17" s="45" t="s">
        <v>877</v>
      </c>
    </row>
    <row r="18" spans="2:14" ht="31" customHeight="1" thickBot="1" x14ac:dyDescent="0.25">
      <c r="B18" s="78" t="s">
        <v>878</v>
      </c>
      <c r="C18" s="111" t="s">
        <v>893</v>
      </c>
      <c r="D18" s="112"/>
      <c r="E18" s="113"/>
      <c r="F18" s="26"/>
      <c r="G18" s="36" t="s">
        <v>900</v>
      </c>
      <c r="H18" s="38" t="s">
        <v>907</v>
      </c>
      <c r="I18" s="40" t="s">
        <v>913</v>
      </c>
      <c r="J18" s="42">
        <v>0.2</v>
      </c>
      <c r="K18" s="27" t="e">
        <f>H18*I18</f>
        <v>#VALUE!</v>
      </c>
      <c r="N18" s="46" t="e">
        <f>H18*I18*J18</f>
        <v>#VALUE!</v>
      </c>
    </row>
    <row r="19" spans="2:14" ht="29.5" customHeight="1" thickBot="1" x14ac:dyDescent="0.25">
      <c r="B19" s="79"/>
      <c r="C19" s="114" t="s">
        <v>894</v>
      </c>
      <c r="D19" s="115"/>
      <c r="E19" s="116"/>
      <c r="F19" s="20"/>
      <c r="G19" s="36" t="s">
        <v>901</v>
      </c>
      <c r="H19" s="39" t="s">
        <v>908</v>
      </c>
      <c r="I19" s="41" t="s">
        <v>914</v>
      </c>
      <c r="J19" s="43">
        <v>0.2</v>
      </c>
      <c r="K19" s="27" t="e">
        <f t="shared" ref="K19:K24" si="0">H19*I19</f>
        <v>#VALUE!</v>
      </c>
      <c r="N19" s="46" t="e">
        <f t="shared" ref="N19:N24" si="1">H19*I19*J19</f>
        <v>#VALUE!</v>
      </c>
    </row>
    <row r="20" spans="2:14" ht="28" customHeight="1" thickBot="1" x14ac:dyDescent="0.25">
      <c r="B20" s="79"/>
      <c r="C20" s="114" t="s">
        <v>895</v>
      </c>
      <c r="D20" s="115"/>
      <c r="E20" s="116"/>
      <c r="F20" s="20"/>
      <c r="G20" s="37" t="s">
        <v>902</v>
      </c>
      <c r="H20" s="39" t="s">
        <v>909</v>
      </c>
      <c r="I20" s="41" t="s">
        <v>915</v>
      </c>
      <c r="J20" s="43">
        <v>0.2</v>
      </c>
      <c r="K20" s="27" t="e">
        <f t="shared" si="0"/>
        <v>#VALUE!</v>
      </c>
      <c r="N20" s="46" t="e">
        <f t="shared" si="1"/>
        <v>#VALUE!</v>
      </c>
    </row>
    <row r="21" spans="2:14" ht="28" customHeight="1" thickBot="1" x14ac:dyDescent="0.25">
      <c r="B21" s="79"/>
      <c r="C21" s="114" t="s">
        <v>896</v>
      </c>
      <c r="D21" s="115"/>
      <c r="E21" s="116"/>
      <c r="F21" s="20"/>
      <c r="G21" s="37" t="s">
        <v>903</v>
      </c>
      <c r="H21" s="39" t="s">
        <v>922</v>
      </c>
      <c r="I21" s="41" t="s">
        <v>916</v>
      </c>
      <c r="J21" s="43">
        <v>0.2</v>
      </c>
      <c r="K21" s="27" t="e">
        <f t="shared" si="0"/>
        <v>#VALUE!</v>
      </c>
      <c r="N21" s="46" t="e">
        <f t="shared" si="1"/>
        <v>#VALUE!</v>
      </c>
    </row>
    <row r="22" spans="2:14" ht="28" customHeight="1" thickBot="1" x14ac:dyDescent="0.25">
      <c r="B22" s="79"/>
      <c r="C22" s="114" t="s">
        <v>897</v>
      </c>
      <c r="D22" s="115"/>
      <c r="E22" s="116"/>
      <c r="F22" s="20"/>
      <c r="G22" s="37" t="s">
        <v>904</v>
      </c>
      <c r="H22" s="39" t="s">
        <v>910</v>
      </c>
      <c r="I22" s="41" t="s">
        <v>917</v>
      </c>
      <c r="J22" s="43">
        <v>0.2</v>
      </c>
      <c r="K22" s="27" t="e">
        <f t="shared" si="0"/>
        <v>#VALUE!</v>
      </c>
      <c r="N22" s="46" t="e">
        <f t="shared" si="1"/>
        <v>#VALUE!</v>
      </c>
    </row>
    <row r="23" spans="2:14" ht="28" customHeight="1" thickBot="1" x14ac:dyDescent="0.25">
      <c r="B23" s="79"/>
      <c r="C23" s="114" t="s">
        <v>898</v>
      </c>
      <c r="D23" s="115"/>
      <c r="E23" s="116"/>
      <c r="F23" s="20"/>
      <c r="G23" s="37" t="s">
        <v>905</v>
      </c>
      <c r="H23" s="39" t="s">
        <v>911</v>
      </c>
      <c r="I23" s="41" t="s">
        <v>918</v>
      </c>
      <c r="J23" s="43">
        <v>0.2</v>
      </c>
      <c r="K23" s="27" t="e">
        <f t="shared" si="0"/>
        <v>#VALUE!</v>
      </c>
      <c r="N23" s="46" t="e">
        <f t="shared" si="1"/>
        <v>#VALUE!</v>
      </c>
    </row>
    <row r="24" spans="2:14" ht="30.75" customHeight="1" thickBot="1" x14ac:dyDescent="0.25">
      <c r="B24" s="80"/>
      <c r="C24" s="117" t="s">
        <v>899</v>
      </c>
      <c r="D24" s="118"/>
      <c r="E24" s="119"/>
      <c r="F24" s="48"/>
      <c r="G24" s="49" t="s">
        <v>906</v>
      </c>
      <c r="H24" s="50" t="s">
        <v>912</v>
      </c>
      <c r="I24" s="51" t="s">
        <v>919</v>
      </c>
      <c r="J24" s="44">
        <v>0.2</v>
      </c>
      <c r="K24" s="52" t="e">
        <f t="shared" si="0"/>
        <v>#VALUE!</v>
      </c>
      <c r="N24" s="46" t="e">
        <f t="shared" si="1"/>
        <v>#VALUE!</v>
      </c>
    </row>
    <row r="25" spans="2:14" ht="16" thickBot="1" x14ac:dyDescent="0.25">
      <c r="B25" s="16"/>
      <c r="C25" s="16"/>
      <c r="D25" s="16"/>
      <c r="E25" s="16"/>
      <c r="F25" s="16"/>
      <c r="G25" s="16"/>
      <c r="H25" s="16"/>
      <c r="I25" s="123" t="s">
        <v>12</v>
      </c>
      <c r="J25" s="124"/>
      <c r="K25" s="47" t="e">
        <f>SUM(K18:K24)</f>
        <v>#VALUE!</v>
      </c>
    </row>
    <row r="26" spans="2:14" ht="16" thickBot="1" x14ac:dyDescent="0.25">
      <c r="B26" s="16"/>
      <c r="C26" s="16"/>
      <c r="D26" s="16"/>
      <c r="E26" s="16"/>
      <c r="F26" s="16"/>
      <c r="G26" s="16"/>
      <c r="H26" s="16"/>
      <c r="I26" s="125" t="s">
        <v>876</v>
      </c>
      <c r="J26" s="142"/>
      <c r="K26" s="17" t="e">
        <f>SUM(N18:N24)</f>
        <v>#VALUE!</v>
      </c>
    </row>
    <row r="27" spans="2:14" ht="16" thickBot="1" x14ac:dyDescent="0.25">
      <c r="B27" s="16"/>
      <c r="C27" s="16"/>
      <c r="D27" s="16"/>
      <c r="E27" s="16"/>
      <c r="F27" s="16"/>
      <c r="G27" s="16"/>
      <c r="H27" s="16"/>
      <c r="I27" s="125" t="s">
        <v>13</v>
      </c>
      <c r="J27" s="126"/>
      <c r="K27" s="17" t="e">
        <f>SUM($K$25:$K$26)</f>
        <v>#VALUE!</v>
      </c>
    </row>
    <row r="28" spans="2:14" x14ac:dyDescent="0.2">
      <c r="B28" s="6"/>
      <c r="C28" s="6"/>
      <c r="D28" s="6"/>
      <c r="E28" s="6"/>
      <c r="F28" s="6"/>
      <c r="G28" s="6"/>
      <c r="H28" s="6"/>
      <c r="I28" s="6"/>
      <c r="J28" s="6"/>
      <c r="K28" s="24"/>
    </row>
    <row r="29" spans="2:14" x14ac:dyDescent="0.2"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2:14" ht="21.75" customHeight="1" x14ac:dyDescent="0.2"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2:14" ht="21.75" customHeight="1" x14ac:dyDescent="0.2"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2:14" ht="21.75" customHeight="1" x14ac:dyDescent="0.2"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2:11" ht="12.75" customHeight="1" thickBot="1" x14ac:dyDescent="0.25"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2:11" ht="13.5" customHeight="1" thickBot="1" x14ac:dyDescent="0.25">
      <c r="B34" s="6"/>
      <c r="C34" s="18"/>
      <c r="D34" s="19" t="s">
        <v>24</v>
      </c>
      <c r="E34" s="29"/>
      <c r="F34" s="127" t="s">
        <v>22</v>
      </c>
      <c r="G34" s="128"/>
      <c r="H34" s="129"/>
      <c r="I34" s="6"/>
    </row>
    <row r="35" spans="2:11" ht="16" thickBot="1" x14ac:dyDescent="0.25">
      <c r="B35" s="6"/>
      <c r="C35" s="25" t="s">
        <v>20</v>
      </c>
      <c r="D35" s="53"/>
      <c r="E35" s="28" t="s">
        <v>20</v>
      </c>
      <c r="F35" s="130"/>
      <c r="G35" s="131"/>
      <c r="H35" s="132"/>
      <c r="I35" s="6"/>
    </row>
    <row r="36" spans="2:11" x14ac:dyDescent="0.2">
      <c r="B36" s="6"/>
      <c r="C36" s="120" t="s">
        <v>21</v>
      </c>
      <c r="D36" s="120"/>
      <c r="E36" s="120" t="s">
        <v>21</v>
      </c>
      <c r="F36" s="133"/>
      <c r="G36" s="134"/>
      <c r="H36" s="135"/>
      <c r="I36" s="6"/>
    </row>
    <row r="37" spans="2:11" x14ac:dyDescent="0.2">
      <c r="B37" s="6"/>
      <c r="C37" s="121"/>
      <c r="D37" s="121"/>
      <c r="E37" s="121"/>
      <c r="F37" s="136"/>
      <c r="G37" s="137"/>
      <c r="H37" s="138"/>
      <c r="I37" s="6"/>
    </row>
    <row r="38" spans="2:11" x14ac:dyDescent="0.2">
      <c r="C38" s="121"/>
      <c r="D38" s="121"/>
      <c r="E38" s="121"/>
      <c r="F38" s="136"/>
      <c r="G38" s="137"/>
      <c r="H38" s="138"/>
    </row>
    <row r="39" spans="2:11" ht="15" customHeight="1" x14ac:dyDescent="0.2">
      <c r="C39" s="121"/>
      <c r="D39" s="121"/>
      <c r="E39" s="121"/>
      <c r="F39" s="136"/>
      <c r="G39" s="137"/>
      <c r="H39" s="138"/>
    </row>
    <row r="40" spans="2:11" x14ac:dyDescent="0.2">
      <c r="C40" s="121"/>
      <c r="D40" s="121"/>
      <c r="E40" s="121"/>
      <c r="F40" s="136"/>
      <c r="G40" s="137"/>
      <c r="H40" s="138"/>
    </row>
    <row r="41" spans="2:11" ht="16" thickBot="1" x14ac:dyDescent="0.25">
      <c r="C41" s="122"/>
      <c r="D41" s="122"/>
      <c r="E41" s="122"/>
      <c r="F41" s="139"/>
      <c r="G41" s="140"/>
      <c r="H41" s="141"/>
    </row>
  </sheetData>
  <sheetProtection insertRows="0" selectLockedCells="1" sort="0" autoFilter="0"/>
  <mergeCells count="40">
    <mergeCell ref="C36:C41"/>
    <mergeCell ref="I25:J25"/>
    <mergeCell ref="I27:J27"/>
    <mergeCell ref="F34:H34"/>
    <mergeCell ref="F35:H35"/>
    <mergeCell ref="F36:H41"/>
    <mergeCell ref="E36:E41"/>
    <mergeCell ref="D36:D41"/>
    <mergeCell ref="I26:J26"/>
    <mergeCell ref="C18:E18"/>
    <mergeCell ref="C19:E19"/>
    <mergeCell ref="C24:E24"/>
    <mergeCell ref="C20:E20"/>
    <mergeCell ref="C23:E23"/>
    <mergeCell ref="C21:E21"/>
    <mergeCell ref="C22:E22"/>
    <mergeCell ref="I10:K10"/>
    <mergeCell ref="I11:K11"/>
    <mergeCell ref="I12:K12"/>
    <mergeCell ref="B18:B24"/>
    <mergeCell ref="C6:D6"/>
    <mergeCell ref="I13:K13"/>
    <mergeCell ref="I14:K14"/>
    <mergeCell ref="I15:K15"/>
    <mergeCell ref="G6:H6"/>
    <mergeCell ref="I6:K6"/>
    <mergeCell ref="G9:G15"/>
    <mergeCell ref="G7:H7"/>
    <mergeCell ref="I7:K7"/>
    <mergeCell ref="I9:K9"/>
    <mergeCell ref="B10:D15"/>
    <mergeCell ref="C17:E17"/>
    <mergeCell ref="G5:H5"/>
    <mergeCell ref="I5:K5"/>
    <mergeCell ref="B2:J2"/>
    <mergeCell ref="B3:K3"/>
    <mergeCell ref="C4:D4"/>
    <mergeCell ref="G4:H4"/>
    <mergeCell ref="I4:K4"/>
    <mergeCell ref="C5:D5"/>
  </mergeCells>
  <dataValidations count="1">
    <dataValidation type="list" allowBlank="1" showInputMessage="1" showErrorMessage="1" sqref="J18:J24" xr:uid="{00000000-0002-0000-0000-000000000000}">
      <mc:AlternateContent xmlns:x12ac="http://schemas.microsoft.com/office/spreadsheetml/2011/1/ac" xmlns:mc="http://schemas.openxmlformats.org/markup-compatibility/2006">
        <mc:Choice Requires="x12ac">
          <x12ac:list>0,"0,055","0,1","0,2"</x12ac:list>
        </mc:Choice>
        <mc:Fallback>
          <formula1>"0,0,055,0,1,0,2"</formula1>
        </mc:Fallback>
      </mc:AlternateContent>
    </dataValidation>
  </dataValidations>
  <hyperlinks>
    <hyperlink ref="I15" r:id="rId1" display="stephane.duschenes@kleegroup.com" xr:uid="{00000000-0004-0000-0000-000000000000}"/>
  </hyperlinks>
  <pageMargins left="0.25" right="0.25" top="0.75" bottom="0.75" header="0.3" footer="0.3"/>
  <pageSetup paperSize="9" scale="69"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97"/>
  <sheetViews>
    <sheetView topLeftCell="A2" zoomScale="90" zoomScaleNormal="90" workbookViewId="0">
      <selection activeCell="B172" sqref="B172"/>
    </sheetView>
  </sheetViews>
  <sheetFormatPr baseColWidth="10" defaultColWidth="11.5" defaultRowHeight="15" x14ac:dyDescent="0.2"/>
  <cols>
    <col min="1" max="1" width="19.6640625" customWidth="1"/>
    <col min="2" max="2" width="18.83203125" customWidth="1"/>
    <col min="3" max="3" width="49.6640625" customWidth="1"/>
    <col min="5" max="5" width="22.6640625" bestFit="1" customWidth="1"/>
    <col min="6" max="6" width="27.6640625" bestFit="1" customWidth="1"/>
    <col min="7" max="7" width="17.6640625" bestFit="1" customWidth="1"/>
    <col min="8" max="8" width="36.33203125" customWidth="1"/>
    <col min="9" max="9" width="27.6640625" bestFit="1" customWidth="1"/>
  </cols>
  <sheetData>
    <row r="1" spans="1:9" ht="16" thickBot="1" x14ac:dyDescent="0.25">
      <c r="A1" s="34" t="s">
        <v>319</v>
      </c>
      <c r="B1" s="34" t="s">
        <v>869</v>
      </c>
      <c r="C1" s="34" t="s">
        <v>871</v>
      </c>
      <c r="E1" s="34" t="s">
        <v>817</v>
      </c>
      <c r="F1" s="34" t="s">
        <v>818</v>
      </c>
      <c r="G1" s="34" t="s">
        <v>819</v>
      </c>
      <c r="H1" s="35" t="s">
        <v>862</v>
      </c>
      <c r="I1" s="34" t="s">
        <v>818</v>
      </c>
    </row>
    <row r="2" spans="1:9" x14ac:dyDescent="0.2">
      <c r="A2" t="s">
        <v>320</v>
      </c>
      <c r="E2" t="s">
        <v>820</v>
      </c>
      <c r="F2" t="s">
        <v>821</v>
      </c>
      <c r="G2">
        <v>1300160032</v>
      </c>
      <c r="H2" t="str">
        <f>CONCATENATE(E2,"-",G2)</f>
        <v>AMADEUS2-1300160032</v>
      </c>
      <c r="I2" t="s">
        <v>821</v>
      </c>
    </row>
    <row r="3" spans="1:9" x14ac:dyDescent="0.2">
      <c r="A3" t="s">
        <v>321</v>
      </c>
      <c r="B3" t="s">
        <v>41</v>
      </c>
      <c r="C3" t="s">
        <v>42</v>
      </c>
      <c r="E3" t="s">
        <v>822</v>
      </c>
      <c r="F3" t="s">
        <v>823</v>
      </c>
      <c r="G3">
        <v>1300191218</v>
      </c>
      <c r="H3" t="str">
        <f t="shared" ref="H3:H35" si="0">CONCATENATE(E3,"-",G3)</f>
        <v>ANTARES-1300191218</v>
      </c>
      <c r="I3" t="s">
        <v>823</v>
      </c>
    </row>
    <row r="4" spans="1:9" x14ac:dyDescent="0.2">
      <c r="A4" t="s">
        <v>322</v>
      </c>
      <c r="E4" t="s">
        <v>89</v>
      </c>
      <c r="F4" t="s">
        <v>89</v>
      </c>
      <c r="G4">
        <v>1300150452</v>
      </c>
      <c r="H4" t="str">
        <f t="shared" si="0"/>
        <v>AREGIE-1300150452</v>
      </c>
      <c r="I4" t="s">
        <v>89</v>
      </c>
    </row>
    <row r="5" spans="1:9" x14ac:dyDescent="0.2">
      <c r="A5" t="s">
        <v>323</v>
      </c>
      <c r="B5" t="s">
        <v>39</v>
      </c>
      <c r="C5" t="s">
        <v>40</v>
      </c>
      <c r="E5" t="s">
        <v>824</v>
      </c>
      <c r="F5" t="s">
        <v>825</v>
      </c>
      <c r="G5">
        <v>1300190093</v>
      </c>
      <c r="H5" t="str">
        <f t="shared" si="0"/>
        <v>AUTOCOMS-1300190093</v>
      </c>
      <c r="I5" t="s">
        <v>825</v>
      </c>
    </row>
    <row r="6" spans="1:9" x14ac:dyDescent="0.2">
      <c r="A6" t="s">
        <v>324</v>
      </c>
      <c r="E6" t="s">
        <v>46</v>
      </c>
      <c r="F6" t="s">
        <v>826</v>
      </c>
      <c r="G6">
        <v>1200092342</v>
      </c>
      <c r="H6" t="str">
        <f t="shared" si="0"/>
        <v>AXONE-1200092342</v>
      </c>
      <c r="I6" t="s">
        <v>826</v>
      </c>
    </row>
    <row r="7" spans="1:9" x14ac:dyDescent="0.2">
      <c r="A7" t="s">
        <v>325</v>
      </c>
      <c r="E7" t="s">
        <v>93</v>
      </c>
      <c r="F7" t="s">
        <v>827</v>
      </c>
      <c r="G7">
        <v>1300179390</v>
      </c>
      <c r="H7" t="str">
        <f t="shared" si="0"/>
        <v>BAR-1300179390</v>
      </c>
      <c r="I7" t="s">
        <v>827</v>
      </c>
    </row>
    <row r="8" spans="1:9" x14ac:dyDescent="0.2">
      <c r="A8" t="s">
        <v>326</v>
      </c>
      <c r="E8" t="s">
        <v>228</v>
      </c>
      <c r="F8" t="s">
        <v>828</v>
      </c>
      <c r="G8">
        <v>1200072491</v>
      </c>
      <c r="H8" t="str">
        <f t="shared" si="0"/>
        <v>BCB-1200072491</v>
      </c>
      <c r="I8" t="s">
        <v>828</v>
      </c>
    </row>
    <row r="9" spans="1:9" x14ac:dyDescent="0.2">
      <c r="A9" t="s">
        <v>327</v>
      </c>
      <c r="B9" t="s">
        <v>185</v>
      </c>
      <c r="C9" t="s">
        <v>186</v>
      </c>
      <c r="E9" t="s">
        <v>230</v>
      </c>
      <c r="F9" t="s">
        <v>829</v>
      </c>
      <c r="G9">
        <v>1300170182</v>
      </c>
      <c r="H9" t="str">
        <f t="shared" si="0"/>
        <v>CIO-1300170182</v>
      </c>
      <c r="I9" t="s">
        <v>829</v>
      </c>
    </row>
    <row r="10" spans="1:9" x14ac:dyDescent="0.2">
      <c r="A10" t="s">
        <v>328</v>
      </c>
      <c r="B10" t="s">
        <v>183</v>
      </c>
      <c r="C10" t="s">
        <v>184</v>
      </c>
      <c r="E10" t="s">
        <v>50</v>
      </c>
      <c r="F10" t="s">
        <v>830</v>
      </c>
      <c r="G10">
        <v>1700120320</v>
      </c>
      <c r="H10" t="str">
        <f t="shared" si="0"/>
        <v>CLES-1700120320</v>
      </c>
      <c r="I10" t="s">
        <v>830</v>
      </c>
    </row>
    <row r="11" spans="1:9" s="33" customFormat="1" x14ac:dyDescent="0.2">
      <c r="A11" s="33" t="s">
        <v>329</v>
      </c>
      <c r="B11" s="33" t="s">
        <v>197</v>
      </c>
      <c r="C11" s="33" t="s">
        <v>198</v>
      </c>
      <c r="E11" s="33" t="s">
        <v>831</v>
      </c>
      <c r="F11" s="33" t="s">
        <v>85</v>
      </c>
      <c r="G11" s="33">
        <v>1300186271</v>
      </c>
      <c r="H11" t="str">
        <f t="shared" si="0"/>
        <v>DEMAT MUTUELLE-1300186271</v>
      </c>
      <c r="I11" s="33" t="s">
        <v>85</v>
      </c>
    </row>
    <row r="12" spans="1:9" s="33" customFormat="1" x14ac:dyDescent="0.2">
      <c r="A12" s="33" t="s">
        <v>330</v>
      </c>
      <c r="B12" s="33" t="s">
        <v>197</v>
      </c>
      <c r="C12" s="33" t="s">
        <v>198</v>
      </c>
      <c r="E12" s="33" t="s">
        <v>832</v>
      </c>
      <c r="F12" s="33" t="s">
        <v>833</v>
      </c>
      <c r="G12" s="33">
        <v>1300188973</v>
      </c>
      <c r="H12" t="str">
        <f t="shared" si="0"/>
        <v>DICTEE-1300188973</v>
      </c>
      <c r="I12" s="33" t="s">
        <v>833</v>
      </c>
    </row>
    <row r="13" spans="1:9" s="33" customFormat="1" x14ac:dyDescent="0.2">
      <c r="A13" s="33" t="s">
        <v>331</v>
      </c>
      <c r="E13" s="33" t="s">
        <v>834</v>
      </c>
      <c r="F13" s="33" t="s">
        <v>834</v>
      </c>
      <c r="G13" s="33">
        <v>1300181680</v>
      </c>
      <c r="H13" t="str">
        <f t="shared" si="0"/>
        <v>ENNOV-1300181680</v>
      </c>
      <c r="I13" s="33" t="s">
        <v>834</v>
      </c>
    </row>
    <row r="14" spans="1:9" s="33" customFormat="1" x14ac:dyDescent="0.2">
      <c r="A14" s="33" t="s">
        <v>332</v>
      </c>
      <c r="B14" s="33" t="s">
        <v>191</v>
      </c>
      <c r="C14" s="33" t="s">
        <v>192</v>
      </c>
      <c r="E14" s="33" t="s">
        <v>863</v>
      </c>
      <c r="F14" s="33" t="s">
        <v>835</v>
      </c>
      <c r="G14" s="33">
        <v>1200080121</v>
      </c>
      <c r="H14" t="str">
        <f t="shared" si="0"/>
        <v>GARDIENNAGE-1200080121</v>
      </c>
      <c r="I14" s="33" t="s">
        <v>835</v>
      </c>
    </row>
    <row r="15" spans="1:9" s="33" customFormat="1" x14ac:dyDescent="0.2">
      <c r="A15" s="33" t="s">
        <v>333</v>
      </c>
      <c r="B15" s="33" t="s">
        <v>182</v>
      </c>
      <c r="C15" s="33" t="s">
        <v>44</v>
      </c>
      <c r="E15" s="33" t="s">
        <v>864</v>
      </c>
      <c r="F15" s="33" t="s">
        <v>836</v>
      </c>
      <c r="G15" s="33">
        <v>1200073690</v>
      </c>
      <c r="H15" t="str">
        <f t="shared" si="0"/>
        <v>MAINTENANCE CVC-1200073690</v>
      </c>
      <c r="I15" s="33" t="s">
        <v>836</v>
      </c>
    </row>
    <row r="16" spans="1:9" s="33" customFormat="1" x14ac:dyDescent="0.2">
      <c r="A16" s="33" t="s">
        <v>334</v>
      </c>
      <c r="B16" s="33" t="s">
        <v>182</v>
      </c>
      <c r="C16" s="33" t="s">
        <v>44</v>
      </c>
      <c r="E16" s="33" t="s">
        <v>865</v>
      </c>
      <c r="F16" s="33" t="s">
        <v>837</v>
      </c>
      <c r="G16" s="33">
        <v>1200087400</v>
      </c>
      <c r="H16" t="str">
        <f t="shared" si="0"/>
        <v>MAINTENANCE ELEC-1200087400</v>
      </c>
      <c r="I16" s="33" t="s">
        <v>837</v>
      </c>
    </row>
    <row r="17" spans="1:9" s="33" customFormat="1" x14ac:dyDescent="0.2">
      <c r="A17" s="33" t="s">
        <v>335</v>
      </c>
      <c r="B17" s="33" t="s">
        <v>182</v>
      </c>
      <c r="C17" s="33" t="s">
        <v>44</v>
      </c>
      <c r="E17" s="33" t="s">
        <v>61</v>
      </c>
      <c r="F17" s="33" t="s">
        <v>838</v>
      </c>
      <c r="G17" s="33">
        <v>1200067102</v>
      </c>
      <c r="H17" t="str">
        <f t="shared" si="0"/>
        <v>GMDMAO-1200067102</v>
      </c>
      <c r="I17" s="33" t="s">
        <v>838</v>
      </c>
    </row>
    <row r="18" spans="1:9" s="33" customFormat="1" x14ac:dyDescent="0.2">
      <c r="A18" s="33" t="s">
        <v>336</v>
      </c>
      <c r="B18" s="33" t="s">
        <v>182</v>
      </c>
      <c r="C18" s="33" t="s">
        <v>44</v>
      </c>
      <c r="E18" s="33" t="s">
        <v>839</v>
      </c>
      <c r="F18" s="33" t="s">
        <v>840</v>
      </c>
      <c r="G18" s="33">
        <v>1300199185</v>
      </c>
      <c r="H18" t="str">
        <f t="shared" si="0"/>
        <v>HEMATOS CURSUS-VIGIE-1300199185</v>
      </c>
      <c r="I18" s="33" t="s">
        <v>840</v>
      </c>
    </row>
    <row r="19" spans="1:9" s="33" customFormat="1" x14ac:dyDescent="0.2">
      <c r="A19" s="33" t="s">
        <v>337</v>
      </c>
      <c r="B19" s="33" t="s">
        <v>182</v>
      </c>
      <c r="C19" s="33" t="s">
        <v>44</v>
      </c>
      <c r="E19" s="33" t="s">
        <v>841</v>
      </c>
      <c r="F19" s="33" t="s">
        <v>842</v>
      </c>
      <c r="G19" s="33">
        <v>1300187432</v>
      </c>
      <c r="H19" t="str">
        <f t="shared" si="0"/>
        <v>INFOGERANCE-1300187432</v>
      </c>
      <c r="I19" s="33" t="s">
        <v>842</v>
      </c>
    </row>
    <row r="20" spans="1:9" s="33" customFormat="1" x14ac:dyDescent="0.2">
      <c r="A20" s="33" t="s">
        <v>338</v>
      </c>
      <c r="B20" s="33" t="s">
        <v>182</v>
      </c>
      <c r="C20" s="33" t="s">
        <v>44</v>
      </c>
      <c r="E20" s="33" t="s">
        <v>843</v>
      </c>
      <c r="F20" s="33" t="s">
        <v>844</v>
      </c>
      <c r="G20" s="33">
        <v>1200078055</v>
      </c>
      <c r="H20" t="str">
        <f t="shared" si="0"/>
        <v>LIMS Lot 1-1200078055</v>
      </c>
      <c r="I20" s="33" t="s">
        <v>844</v>
      </c>
    </row>
    <row r="21" spans="1:9" s="33" customFormat="1" x14ac:dyDescent="0.2">
      <c r="A21" s="33" t="s">
        <v>339</v>
      </c>
      <c r="E21" s="33" t="s">
        <v>845</v>
      </c>
      <c r="F21" s="33" t="s">
        <v>846</v>
      </c>
      <c r="G21" s="33">
        <v>1300171464</v>
      </c>
      <c r="H21" t="str">
        <f t="shared" si="0"/>
        <v>LIMS Lot 2-1300171464</v>
      </c>
      <c r="I21" s="33" t="s">
        <v>846</v>
      </c>
    </row>
    <row r="22" spans="1:9" s="33" customFormat="1" x14ac:dyDescent="0.2">
      <c r="A22" s="33" t="s">
        <v>340</v>
      </c>
      <c r="B22" s="33" t="s">
        <v>182</v>
      </c>
      <c r="C22" s="33" t="s">
        <v>44</v>
      </c>
      <c r="E22" s="33" t="s">
        <v>847</v>
      </c>
      <c r="F22" s="33" t="s">
        <v>823</v>
      </c>
      <c r="G22" s="33">
        <v>1300191350</v>
      </c>
      <c r="H22" t="str">
        <f t="shared" si="0"/>
        <v>MS-SANTE-1300191350</v>
      </c>
      <c r="I22" s="33" t="s">
        <v>823</v>
      </c>
    </row>
    <row r="23" spans="1:9" s="33" customFormat="1" x14ac:dyDescent="0.2">
      <c r="A23" s="33" t="s">
        <v>341</v>
      </c>
      <c r="B23" s="33" t="s">
        <v>197</v>
      </c>
      <c r="C23" s="33" t="s">
        <v>198</v>
      </c>
      <c r="E23" s="33" t="s">
        <v>149</v>
      </c>
      <c r="F23" s="33" t="s">
        <v>848</v>
      </c>
      <c r="G23" s="33">
        <v>1300194934</v>
      </c>
      <c r="H23" t="str">
        <f t="shared" si="0"/>
        <v>PHARMA-CHIMIO-1300194934</v>
      </c>
      <c r="I23" s="33" t="s">
        <v>848</v>
      </c>
    </row>
    <row r="24" spans="1:9" s="33" customFormat="1" x14ac:dyDescent="0.2">
      <c r="A24" s="33" t="s">
        <v>342</v>
      </c>
      <c r="B24" s="33" t="s">
        <v>197</v>
      </c>
      <c r="C24" s="33" t="s">
        <v>198</v>
      </c>
      <c r="E24" s="33" t="s">
        <v>52</v>
      </c>
      <c r="F24" s="33" t="s">
        <v>849</v>
      </c>
      <c r="G24" s="33">
        <v>1200095625</v>
      </c>
      <c r="H24" t="str">
        <f t="shared" si="0"/>
        <v>PREVENTIEL-1200095625</v>
      </c>
      <c r="I24" s="33" t="s">
        <v>849</v>
      </c>
    </row>
    <row r="25" spans="1:9" s="33" customFormat="1" x14ac:dyDescent="0.2">
      <c r="A25" s="33" t="s">
        <v>343</v>
      </c>
      <c r="B25" s="33" t="s">
        <v>187</v>
      </c>
      <c r="C25" s="33" t="s">
        <v>188</v>
      </c>
      <c r="E25" s="33" t="s">
        <v>153</v>
      </c>
      <c r="F25" s="33" t="s">
        <v>850</v>
      </c>
      <c r="G25" s="33">
        <v>1300172917</v>
      </c>
      <c r="H25" t="str">
        <f t="shared" si="0"/>
        <v>RECO-1300172917</v>
      </c>
      <c r="I25" s="33" t="s">
        <v>850</v>
      </c>
    </row>
    <row r="26" spans="1:9" s="33" customFormat="1" x14ac:dyDescent="0.2">
      <c r="A26" s="33" t="s">
        <v>344</v>
      </c>
      <c r="E26" s="33" t="s">
        <v>155</v>
      </c>
      <c r="F26" s="33" t="s">
        <v>851</v>
      </c>
      <c r="G26" s="33">
        <v>1300150679</v>
      </c>
      <c r="H26" t="str">
        <f t="shared" si="0"/>
        <v>RESURGENCES-1300150679</v>
      </c>
      <c r="I26" s="33" t="s">
        <v>851</v>
      </c>
    </row>
    <row r="27" spans="1:9" s="33" customFormat="1" x14ac:dyDescent="0.2">
      <c r="A27" s="33" t="s">
        <v>345</v>
      </c>
      <c r="B27" s="33" t="s">
        <v>193</v>
      </c>
      <c r="C27" s="33" t="s">
        <v>194</v>
      </c>
      <c r="E27" s="33" t="s">
        <v>161</v>
      </c>
      <c r="F27" s="33" t="s">
        <v>852</v>
      </c>
      <c r="G27" s="33">
        <v>1300176761</v>
      </c>
      <c r="H27" t="str">
        <f t="shared" si="0"/>
        <v>SAPANET-1300176761</v>
      </c>
      <c r="I27" s="33" t="s">
        <v>852</v>
      </c>
    </row>
    <row r="28" spans="1:9" s="33" customFormat="1" x14ac:dyDescent="0.2">
      <c r="A28" s="33" t="s">
        <v>346</v>
      </c>
      <c r="B28" s="33" t="s">
        <v>182</v>
      </c>
      <c r="C28" s="33" t="s">
        <v>44</v>
      </c>
      <c r="E28" s="33" t="s">
        <v>75</v>
      </c>
      <c r="F28" s="33" t="s">
        <v>853</v>
      </c>
      <c r="G28" s="33">
        <v>1300196787</v>
      </c>
      <c r="H28" t="str">
        <f t="shared" si="0"/>
        <v>SINAPS-1300196787</v>
      </c>
      <c r="I28" s="33" t="s">
        <v>853</v>
      </c>
    </row>
    <row r="29" spans="1:9" s="33" customFormat="1" x14ac:dyDescent="0.2">
      <c r="A29" s="33" t="s">
        <v>347</v>
      </c>
      <c r="B29" s="33" t="s">
        <v>182</v>
      </c>
      <c r="C29" s="33" t="s">
        <v>44</v>
      </c>
      <c r="E29" s="33" t="s">
        <v>169</v>
      </c>
      <c r="F29" s="33" t="s">
        <v>854</v>
      </c>
      <c r="G29" s="33">
        <v>1300194833</v>
      </c>
      <c r="H29" t="str">
        <f t="shared" si="0"/>
        <v>SOFTALMO-1300194833</v>
      </c>
      <c r="I29" s="33" t="s">
        <v>854</v>
      </c>
    </row>
    <row r="30" spans="1:9" s="33" customFormat="1" x14ac:dyDescent="0.2">
      <c r="A30" s="33" t="s">
        <v>348</v>
      </c>
      <c r="B30" s="33" t="s">
        <v>182</v>
      </c>
      <c r="C30" s="33" t="s">
        <v>44</v>
      </c>
      <c r="E30" s="33" t="s">
        <v>855</v>
      </c>
      <c r="F30" s="33" t="s">
        <v>856</v>
      </c>
      <c r="G30" s="33">
        <v>1300191273</v>
      </c>
      <c r="H30" t="str">
        <f t="shared" si="0"/>
        <v>SYNERGY-1300191273</v>
      </c>
      <c r="I30" s="33" t="s">
        <v>856</v>
      </c>
    </row>
    <row r="31" spans="1:9" s="33" customFormat="1" x14ac:dyDescent="0.2">
      <c r="A31" s="33" t="s">
        <v>349</v>
      </c>
      <c r="E31" s="33" t="s">
        <v>254</v>
      </c>
      <c r="F31" s="33" t="s">
        <v>254</v>
      </c>
      <c r="G31" s="33">
        <v>1200073730</v>
      </c>
      <c r="H31" t="str">
        <f t="shared" si="0"/>
        <v>VIDAL-1200073730</v>
      </c>
      <c r="I31" s="33" t="s">
        <v>254</v>
      </c>
    </row>
    <row r="32" spans="1:9" s="33" customFormat="1" x14ac:dyDescent="0.2">
      <c r="A32" s="33" t="s">
        <v>350</v>
      </c>
      <c r="B32" s="33" t="s">
        <v>182</v>
      </c>
      <c r="C32" s="33" t="s">
        <v>44</v>
      </c>
      <c r="E32" s="33" t="s">
        <v>283</v>
      </c>
      <c r="F32" s="33" t="s">
        <v>857</v>
      </c>
      <c r="G32" s="33">
        <v>1300171743</v>
      </c>
      <c r="H32" t="str">
        <f t="shared" si="0"/>
        <v>WIFI-1300171743</v>
      </c>
      <c r="I32" s="33" t="s">
        <v>857</v>
      </c>
    </row>
    <row r="33" spans="1:9" s="33" customFormat="1" x14ac:dyDescent="0.2">
      <c r="A33" s="33" t="s">
        <v>351</v>
      </c>
      <c r="B33" s="33" t="s">
        <v>182</v>
      </c>
      <c r="C33" s="33" t="s">
        <v>44</v>
      </c>
      <c r="E33" s="33" t="s">
        <v>91</v>
      </c>
      <c r="F33" s="33" t="s">
        <v>866</v>
      </c>
      <c r="G33" s="33">
        <v>2200844518</v>
      </c>
      <c r="H33" t="str">
        <f t="shared" si="0"/>
        <v>BAHIA-2200844518</v>
      </c>
      <c r="I33" s="33" t="s">
        <v>866</v>
      </c>
    </row>
    <row r="34" spans="1:9" s="33" customFormat="1" x14ac:dyDescent="0.2">
      <c r="A34" s="33" t="s">
        <v>352</v>
      </c>
      <c r="E34" s="33" t="s">
        <v>859</v>
      </c>
      <c r="F34" s="33" t="s">
        <v>859</v>
      </c>
      <c r="G34" s="33" t="s">
        <v>860</v>
      </c>
      <c r="H34" t="str">
        <f t="shared" si="0"/>
        <v>UGAP-Commande simple</v>
      </c>
      <c r="I34" s="33" t="s">
        <v>859</v>
      </c>
    </row>
    <row r="35" spans="1:9" s="33" customFormat="1" x14ac:dyDescent="0.2">
      <c r="A35" s="33" t="s">
        <v>353</v>
      </c>
      <c r="E35" s="33" t="s">
        <v>867</v>
      </c>
      <c r="F35" s="33" t="s">
        <v>861</v>
      </c>
      <c r="G35" s="33" t="s">
        <v>860</v>
      </c>
      <c r="H35" t="str">
        <f t="shared" si="0"/>
        <v>Autre-Commande simple</v>
      </c>
    </row>
    <row r="36" spans="1:9" s="33" customFormat="1" x14ac:dyDescent="0.2">
      <c r="A36" s="33" t="s">
        <v>354</v>
      </c>
      <c r="B36" s="33" t="s">
        <v>182</v>
      </c>
      <c r="C36" s="33" t="s">
        <v>44</v>
      </c>
    </row>
    <row r="37" spans="1:9" s="33" customFormat="1" x14ac:dyDescent="0.2">
      <c r="A37" s="33" t="s">
        <v>355</v>
      </c>
    </row>
    <row r="38" spans="1:9" s="33" customFormat="1" x14ac:dyDescent="0.2">
      <c r="A38" s="33" t="s">
        <v>356</v>
      </c>
    </row>
    <row r="39" spans="1:9" s="33" customFormat="1" x14ac:dyDescent="0.2">
      <c r="A39" s="33" t="s">
        <v>357</v>
      </c>
      <c r="B39" s="33" t="s">
        <v>182</v>
      </c>
      <c r="C39" s="33" t="s">
        <v>44</v>
      </c>
    </row>
    <row r="40" spans="1:9" s="33" customFormat="1" x14ac:dyDescent="0.2">
      <c r="A40" s="33" t="s">
        <v>358</v>
      </c>
    </row>
    <row r="41" spans="1:9" s="33" customFormat="1" x14ac:dyDescent="0.2">
      <c r="A41" s="33" t="s">
        <v>359</v>
      </c>
      <c r="B41" s="33" t="s">
        <v>199</v>
      </c>
      <c r="C41" s="33" t="s">
        <v>200</v>
      </c>
    </row>
    <row r="42" spans="1:9" s="33" customFormat="1" x14ac:dyDescent="0.2">
      <c r="A42" s="33" t="s">
        <v>360</v>
      </c>
    </row>
    <row r="43" spans="1:9" s="33" customFormat="1" x14ac:dyDescent="0.2">
      <c r="A43" s="33" t="s">
        <v>361</v>
      </c>
      <c r="B43" s="33" t="s">
        <v>195</v>
      </c>
      <c r="C43" s="33" t="s">
        <v>196</v>
      </c>
    </row>
    <row r="44" spans="1:9" s="33" customFormat="1" x14ac:dyDescent="0.2">
      <c r="A44" s="33" t="s">
        <v>362</v>
      </c>
      <c r="B44" s="33" t="s">
        <v>189</v>
      </c>
      <c r="C44" s="33" t="s">
        <v>190</v>
      </c>
    </row>
    <row r="45" spans="1:9" s="33" customFormat="1" x14ac:dyDescent="0.2">
      <c r="A45" s="33" t="s">
        <v>363</v>
      </c>
      <c r="B45" s="33" t="s">
        <v>182</v>
      </c>
      <c r="C45" s="33" t="s">
        <v>44</v>
      </c>
    </row>
    <row r="46" spans="1:9" s="33" customFormat="1" x14ac:dyDescent="0.2">
      <c r="A46" s="33" t="s">
        <v>364</v>
      </c>
    </row>
    <row r="47" spans="1:9" s="33" customFormat="1" x14ac:dyDescent="0.2">
      <c r="A47" s="33" t="s">
        <v>365</v>
      </c>
    </row>
    <row r="48" spans="1:9" s="33" customFormat="1" x14ac:dyDescent="0.2">
      <c r="A48" s="33" t="s">
        <v>366</v>
      </c>
      <c r="B48" s="33" t="s">
        <v>130</v>
      </c>
      <c r="C48" s="33" t="s">
        <v>131</v>
      </c>
    </row>
    <row r="49" spans="1:3" s="33" customFormat="1" x14ac:dyDescent="0.2">
      <c r="A49" s="33" t="s">
        <v>367</v>
      </c>
    </row>
    <row r="50" spans="1:3" s="33" customFormat="1" x14ac:dyDescent="0.2">
      <c r="A50" s="33" t="s">
        <v>368</v>
      </c>
    </row>
    <row r="51" spans="1:3" s="33" customFormat="1" x14ac:dyDescent="0.2">
      <c r="A51" s="33" t="s">
        <v>369</v>
      </c>
      <c r="B51" s="33" t="s">
        <v>142</v>
      </c>
      <c r="C51" s="33" t="s">
        <v>143</v>
      </c>
    </row>
    <row r="52" spans="1:3" s="33" customFormat="1" x14ac:dyDescent="0.2">
      <c r="A52" s="33" t="s">
        <v>370</v>
      </c>
    </row>
    <row r="53" spans="1:3" s="33" customFormat="1" x14ac:dyDescent="0.2">
      <c r="A53" s="33" t="s">
        <v>371</v>
      </c>
      <c r="B53" s="33" t="s">
        <v>178</v>
      </c>
      <c r="C53" s="33" t="s">
        <v>179</v>
      </c>
    </row>
    <row r="54" spans="1:3" s="33" customFormat="1" x14ac:dyDescent="0.2">
      <c r="A54" s="33" t="s">
        <v>372</v>
      </c>
      <c r="B54" s="33" t="s">
        <v>160</v>
      </c>
      <c r="C54" s="33" t="s">
        <v>161</v>
      </c>
    </row>
    <row r="55" spans="1:3" s="33" customFormat="1" x14ac:dyDescent="0.2">
      <c r="A55" s="33" t="s">
        <v>373</v>
      </c>
      <c r="B55" s="33" t="s">
        <v>174</v>
      </c>
      <c r="C55" s="33" t="s">
        <v>175</v>
      </c>
    </row>
    <row r="56" spans="1:3" s="33" customFormat="1" x14ac:dyDescent="0.2">
      <c r="A56" s="33" t="s">
        <v>374</v>
      </c>
      <c r="B56" s="33" t="s">
        <v>116</v>
      </c>
      <c r="C56" s="33" t="s">
        <v>117</v>
      </c>
    </row>
    <row r="57" spans="1:3" s="33" customFormat="1" x14ac:dyDescent="0.2">
      <c r="A57" s="33" t="s">
        <v>375</v>
      </c>
    </row>
    <row r="58" spans="1:3" s="33" customFormat="1" x14ac:dyDescent="0.2">
      <c r="A58" s="33" t="s">
        <v>376</v>
      </c>
      <c r="B58" s="33" t="s">
        <v>138</v>
      </c>
      <c r="C58" s="33" t="s">
        <v>139</v>
      </c>
    </row>
    <row r="59" spans="1:3" s="33" customFormat="1" x14ac:dyDescent="0.2">
      <c r="A59" s="33" t="s">
        <v>377</v>
      </c>
      <c r="B59" s="33" t="s">
        <v>138</v>
      </c>
      <c r="C59" s="33" t="s">
        <v>139</v>
      </c>
    </row>
    <row r="60" spans="1:3" s="33" customFormat="1" x14ac:dyDescent="0.2">
      <c r="A60" s="33" t="s">
        <v>378</v>
      </c>
    </row>
    <row r="61" spans="1:3" s="33" customFormat="1" x14ac:dyDescent="0.2">
      <c r="A61" s="33" t="s">
        <v>379</v>
      </c>
      <c r="B61" s="33" t="s">
        <v>100</v>
      </c>
      <c r="C61" s="33" t="s">
        <v>101</v>
      </c>
    </row>
    <row r="62" spans="1:3" s="33" customFormat="1" x14ac:dyDescent="0.2">
      <c r="A62" s="33" t="s">
        <v>380</v>
      </c>
      <c r="B62" s="33" t="s">
        <v>104</v>
      </c>
      <c r="C62" s="33" t="s">
        <v>105</v>
      </c>
    </row>
    <row r="63" spans="1:3" s="33" customFormat="1" x14ac:dyDescent="0.2">
      <c r="A63" s="33" t="s">
        <v>381</v>
      </c>
      <c r="B63" s="33" t="s">
        <v>92</v>
      </c>
      <c r="C63" s="33" t="s">
        <v>93</v>
      </c>
    </row>
    <row r="64" spans="1:3" s="33" customFormat="1" x14ac:dyDescent="0.2">
      <c r="A64" s="33" t="s">
        <v>382</v>
      </c>
      <c r="B64" s="33" t="s">
        <v>92</v>
      </c>
      <c r="C64" s="33" t="s">
        <v>93</v>
      </c>
    </row>
    <row r="65" spans="1:3" s="33" customFormat="1" x14ac:dyDescent="0.2">
      <c r="A65" s="33" t="s">
        <v>383</v>
      </c>
    </row>
    <row r="66" spans="1:3" s="33" customFormat="1" x14ac:dyDescent="0.2">
      <c r="A66" s="33" t="s">
        <v>384</v>
      </c>
      <c r="B66" s="33" t="s">
        <v>96</v>
      </c>
      <c r="C66" s="33" t="s">
        <v>97</v>
      </c>
    </row>
    <row r="67" spans="1:3" s="33" customFormat="1" x14ac:dyDescent="0.2">
      <c r="A67" s="33" t="s">
        <v>385</v>
      </c>
    </row>
    <row r="68" spans="1:3" s="33" customFormat="1" x14ac:dyDescent="0.2">
      <c r="A68" s="33" t="s">
        <v>386</v>
      </c>
      <c r="B68" s="33" t="s">
        <v>148</v>
      </c>
      <c r="C68" s="33" t="s">
        <v>149</v>
      </c>
    </row>
    <row r="69" spans="1:3" s="33" customFormat="1" x14ac:dyDescent="0.2">
      <c r="A69" s="33" t="s">
        <v>387</v>
      </c>
      <c r="B69" s="33" t="s">
        <v>148</v>
      </c>
      <c r="C69" s="33" t="s">
        <v>149</v>
      </c>
    </row>
    <row r="70" spans="1:3" s="33" customFormat="1" x14ac:dyDescent="0.2">
      <c r="A70" s="33" t="s">
        <v>388</v>
      </c>
      <c r="B70" s="33" t="s">
        <v>94</v>
      </c>
      <c r="C70" s="33" t="s">
        <v>95</v>
      </c>
    </row>
    <row r="71" spans="1:3" s="33" customFormat="1" x14ac:dyDescent="0.2">
      <c r="A71" s="33" t="s">
        <v>389</v>
      </c>
    </row>
    <row r="72" spans="1:3" s="33" customFormat="1" x14ac:dyDescent="0.2">
      <c r="A72" s="33" t="s">
        <v>390</v>
      </c>
      <c r="B72" s="33" t="s">
        <v>144</v>
      </c>
      <c r="C72" s="33" t="s">
        <v>145</v>
      </c>
    </row>
    <row r="73" spans="1:3" s="33" customFormat="1" x14ac:dyDescent="0.2">
      <c r="A73" s="33" t="s">
        <v>391</v>
      </c>
    </row>
    <row r="74" spans="1:3" s="33" customFormat="1" x14ac:dyDescent="0.2">
      <c r="A74" s="33" t="s">
        <v>392</v>
      </c>
    </row>
    <row r="75" spans="1:3" s="33" customFormat="1" x14ac:dyDescent="0.2">
      <c r="A75" s="33" t="s">
        <v>393</v>
      </c>
    </row>
    <row r="76" spans="1:3" s="33" customFormat="1" x14ac:dyDescent="0.2">
      <c r="A76" s="33" t="s">
        <v>394</v>
      </c>
    </row>
    <row r="77" spans="1:3" s="33" customFormat="1" x14ac:dyDescent="0.2">
      <c r="A77" s="33" t="s">
        <v>395</v>
      </c>
      <c r="B77" s="33" t="s">
        <v>168</v>
      </c>
      <c r="C77" s="33" t="s">
        <v>169</v>
      </c>
    </row>
    <row r="78" spans="1:3" s="33" customFormat="1" x14ac:dyDescent="0.2">
      <c r="A78" s="33" t="s">
        <v>396</v>
      </c>
      <c r="B78" s="33" t="s">
        <v>140</v>
      </c>
      <c r="C78" s="33" t="s">
        <v>141</v>
      </c>
    </row>
    <row r="79" spans="1:3" s="33" customFormat="1" x14ac:dyDescent="0.2">
      <c r="A79" s="33" t="s">
        <v>397</v>
      </c>
      <c r="B79" s="33" t="s">
        <v>84</v>
      </c>
      <c r="C79" s="33" t="s">
        <v>85</v>
      </c>
    </row>
    <row r="80" spans="1:3" s="33" customFormat="1" x14ac:dyDescent="0.2">
      <c r="A80" s="33" t="s">
        <v>398</v>
      </c>
      <c r="B80" s="33" t="s">
        <v>120</v>
      </c>
      <c r="C80" s="33" t="s">
        <v>121</v>
      </c>
    </row>
    <row r="81" spans="1:8" x14ac:dyDescent="0.2">
      <c r="A81" t="s">
        <v>399</v>
      </c>
      <c r="B81" t="s">
        <v>122</v>
      </c>
      <c r="C81" t="s">
        <v>123</v>
      </c>
      <c r="E81" s="33"/>
      <c r="F81" s="33"/>
      <c r="G81" s="33"/>
      <c r="H81" s="33"/>
    </row>
    <row r="82" spans="1:8" x14ac:dyDescent="0.2">
      <c r="A82" t="s">
        <v>400</v>
      </c>
      <c r="B82" t="s">
        <v>162</v>
      </c>
      <c r="C82" t="s">
        <v>163</v>
      </c>
    </row>
    <row r="83" spans="1:8" x14ac:dyDescent="0.2">
      <c r="A83" t="s">
        <v>401</v>
      </c>
    </row>
    <row r="84" spans="1:8" x14ac:dyDescent="0.2">
      <c r="A84" t="s">
        <v>402</v>
      </c>
      <c r="B84" t="s">
        <v>110</v>
      </c>
      <c r="C84" t="s">
        <v>111</v>
      </c>
    </row>
    <row r="85" spans="1:8" x14ac:dyDescent="0.2">
      <c r="A85" t="s">
        <v>403</v>
      </c>
      <c r="B85" t="s">
        <v>152</v>
      </c>
      <c r="C85" t="s">
        <v>153</v>
      </c>
    </row>
    <row r="86" spans="1:8" x14ac:dyDescent="0.2">
      <c r="A86" t="s">
        <v>404</v>
      </c>
      <c r="B86" t="s">
        <v>152</v>
      </c>
      <c r="C86" t="s">
        <v>153</v>
      </c>
    </row>
    <row r="87" spans="1:8" x14ac:dyDescent="0.2">
      <c r="A87" t="s">
        <v>405</v>
      </c>
      <c r="B87" t="s">
        <v>180</v>
      </c>
      <c r="C87" t="s">
        <v>181</v>
      </c>
    </row>
    <row r="88" spans="1:8" x14ac:dyDescent="0.2">
      <c r="A88" t="s">
        <v>406</v>
      </c>
      <c r="B88" t="s">
        <v>102</v>
      </c>
      <c r="C88" t="s">
        <v>103</v>
      </c>
    </row>
    <row r="89" spans="1:8" x14ac:dyDescent="0.2">
      <c r="A89" t="s">
        <v>407</v>
      </c>
      <c r="B89" t="s">
        <v>108</v>
      </c>
      <c r="C89" t="s">
        <v>109</v>
      </c>
    </row>
    <row r="90" spans="1:8" x14ac:dyDescent="0.2">
      <c r="A90" t="s">
        <v>408</v>
      </c>
    </row>
    <row r="91" spans="1:8" x14ac:dyDescent="0.2">
      <c r="A91" t="s">
        <v>409</v>
      </c>
    </row>
    <row r="92" spans="1:8" x14ac:dyDescent="0.2">
      <c r="A92" t="s">
        <v>410</v>
      </c>
      <c r="B92" t="s">
        <v>170</v>
      </c>
      <c r="C92" t="s">
        <v>171</v>
      </c>
    </row>
    <row r="93" spans="1:8" x14ac:dyDescent="0.2">
      <c r="A93" t="s">
        <v>411</v>
      </c>
      <c r="B93" t="s">
        <v>154</v>
      </c>
      <c r="C93" t="s">
        <v>155</v>
      </c>
    </row>
    <row r="94" spans="1:8" x14ac:dyDescent="0.2">
      <c r="A94" t="s">
        <v>412</v>
      </c>
      <c r="B94" t="s">
        <v>150</v>
      </c>
      <c r="C94" t="s">
        <v>151</v>
      </c>
    </row>
    <row r="95" spans="1:8" x14ac:dyDescent="0.2">
      <c r="A95" t="s">
        <v>413</v>
      </c>
      <c r="B95" t="s">
        <v>106</v>
      </c>
      <c r="C95" t="s">
        <v>107</v>
      </c>
    </row>
    <row r="96" spans="1:8" x14ac:dyDescent="0.2">
      <c r="A96" t="s">
        <v>414</v>
      </c>
      <c r="B96" t="s">
        <v>114</v>
      </c>
      <c r="C96" t="s">
        <v>115</v>
      </c>
    </row>
    <row r="97" spans="1:3" x14ac:dyDescent="0.2">
      <c r="A97" t="s">
        <v>415</v>
      </c>
      <c r="B97" t="s">
        <v>88</v>
      </c>
      <c r="C97" t="s">
        <v>89</v>
      </c>
    </row>
    <row r="98" spans="1:3" x14ac:dyDescent="0.2">
      <c r="A98" t="s">
        <v>416</v>
      </c>
      <c r="B98" t="s">
        <v>90</v>
      </c>
      <c r="C98" t="s">
        <v>91</v>
      </c>
    </row>
    <row r="99" spans="1:3" x14ac:dyDescent="0.2">
      <c r="A99" t="s">
        <v>417</v>
      </c>
      <c r="B99" t="s">
        <v>136</v>
      </c>
      <c r="C99" t="s">
        <v>137</v>
      </c>
    </row>
    <row r="100" spans="1:3" x14ac:dyDescent="0.2">
      <c r="A100" t="s">
        <v>418</v>
      </c>
      <c r="B100" t="s">
        <v>126</v>
      </c>
      <c r="C100" t="s">
        <v>127</v>
      </c>
    </row>
    <row r="101" spans="1:3" x14ac:dyDescent="0.2">
      <c r="A101" t="s">
        <v>419</v>
      </c>
    </row>
    <row r="102" spans="1:3" x14ac:dyDescent="0.2">
      <c r="A102" t="s">
        <v>420</v>
      </c>
      <c r="B102" t="s">
        <v>176</v>
      </c>
      <c r="C102" t="s">
        <v>177</v>
      </c>
    </row>
    <row r="103" spans="1:3" x14ac:dyDescent="0.2">
      <c r="A103" t="s">
        <v>421</v>
      </c>
    </row>
    <row r="104" spans="1:3" x14ac:dyDescent="0.2">
      <c r="A104" t="s">
        <v>422</v>
      </c>
    </row>
    <row r="105" spans="1:3" x14ac:dyDescent="0.2">
      <c r="A105" t="s">
        <v>423</v>
      </c>
      <c r="B105" t="s">
        <v>86</v>
      </c>
      <c r="C105" t="s">
        <v>87</v>
      </c>
    </row>
    <row r="106" spans="1:3" x14ac:dyDescent="0.2">
      <c r="A106" t="s">
        <v>424</v>
      </c>
    </row>
    <row r="107" spans="1:3" x14ac:dyDescent="0.2">
      <c r="A107" t="s">
        <v>425</v>
      </c>
      <c r="B107" t="s">
        <v>98</v>
      </c>
      <c r="C107" t="s">
        <v>99</v>
      </c>
    </row>
    <row r="108" spans="1:3" x14ac:dyDescent="0.2">
      <c r="A108" t="s">
        <v>426</v>
      </c>
      <c r="B108" t="s">
        <v>130</v>
      </c>
      <c r="C108" t="s">
        <v>131</v>
      </c>
    </row>
    <row r="109" spans="1:3" x14ac:dyDescent="0.2">
      <c r="A109" t="s">
        <v>427</v>
      </c>
      <c r="B109" t="s">
        <v>142</v>
      </c>
      <c r="C109" t="s">
        <v>143</v>
      </c>
    </row>
    <row r="110" spans="1:3" x14ac:dyDescent="0.2">
      <c r="A110" t="s">
        <v>428</v>
      </c>
      <c r="B110" t="s">
        <v>118</v>
      </c>
      <c r="C110" t="s">
        <v>119</v>
      </c>
    </row>
    <row r="111" spans="1:3" x14ac:dyDescent="0.2">
      <c r="A111" t="s">
        <v>429</v>
      </c>
    </row>
    <row r="112" spans="1:3" x14ac:dyDescent="0.2">
      <c r="A112" t="s">
        <v>430</v>
      </c>
    </row>
    <row r="113" spans="1:3" x14ac:dyDescent="0.2">
      <c r="A113" t="s">
        <v>431</v>
      </c>
      <c r="B113" t="s">
        <v>174</v>
      </c>
      <c r="C113" t="s">
        <v>175</v>
      </c>
    </row>
    <row r="114" spans="1:3" x14ac:dyDescent="0.2">
      <c r="A114" t="s">
        <v>432</v>
      </c>
      <c r="B114" t="s">
        <v>116</v>
      </c>
      <c r="C114" t="s">
        <v>117</v>
      </c>
    </row>
    <row r="115" spans="1:3" x14ac:dyDescent="0.2">
      <c r="A115" t="s">
        <v>433</v>
      </c>
      <c r="B115" t="s">
        <v>94</v>
      </c>
      <c r="C115" t="s">
        <v>95</v>
      </c>
    </row>
    <row r="116" spans="1:3" x14ac:dyDescent="0.2">
      <c r="A116" t="s">
        <v>434</v>
      </c>
    </row>
    <row r="117" spans="1:3" x14ac:dyDescent="0.2">
      <c r="A117" t="s">
        <v>435</v>
      </c>
      <c r="B117" t="s">
        <v>100</v>
      </c>
      <c r="C117" t="s">
        <v>101</v>
      </c>
    </row>
    <row r="118" spans="1:3" x14ac:dyDescent="0.2">
      <c r="A118" t="s">
        <v>436</v>
      </c>
      <c r="B118" t="s">
        <v>104</v>
      </c>
      <c r="C118" t="s">
        <v>105</v>
      </c>
    </row>
    <row r="119" spans="1:3" x14ac:dyDescent="0.2">
      <c r="A119" t="s">
        <v>437</v>
      </c>
      <c r="B119" t="s">
        <v>94</v>
      </c>
      <c r="C119" t="s">
        <v>95</v>
      </c>
    </row>
    <row r="120" spans="1:3" x14ac:dyDescent="0.2">
      <c r="A120" t="s">
        <v>438</v>
      </c>
    </row>
    <row r="121" spans="1:3" x14ac:dyDescent="0.2">
      <c r="A121" t="s">
        <v>439</v>
      </c>
    </row>
    <row r="122" spans="1:3" x14ac:dyDescent="0.2">
      <c r="A122" t="s">
        <v>440</v>
      </c>
    </row>
    <row r="123" spans="1:3" x14ac:dyDescent="0.2">
      <c r="A123" t="s">
        <v>441</v>
      </c>
    </row>
    <row r="124" spans="1:3" x14ac:dyDescent="0.2">
      <c r="A124" t="s">
        <v>442</v>
      </c>
      <c r="B124" t="s">
        <v>144</v>
      </c>
      <c r="C124" t="s">
        <v>145</v>
      </c>
    </row>
    <row r="125" spans="1:3" x14ac:dyDescent="0.2">
      <c r="A125" t="s">
        <v>443</v>
      </c>
      <c r="B125" t="s">
        <v>94</v>
      </c>
      <c r="C125" t="s">
        <v>95</v>
      </c>
    </row>
    <row r="126" spans="1:3" x14ac:dyDescent="0.2">
      <c r="A126" t="s">
        <v>444</v>
      </c>
    </row>
    <row r="127" spans="1:3" x14ac:dyDescent="0.2">
      <c r="A127" t="s">
        <v>445</v>
      </c>
      <c r="B127" t="s">
        <v>146</v>
      </c>
      <c r="C127" t="s">
        <v>147</v>
      </c>
    </row>
    <row r="128" spans="1:3" x14ac:dyDescent="0.2">
      <c r="A128" t="s">
        <v>446</v>
      </c>
      <c r="B128" t="s">
        <v>132</v>
      </c>
      <c r="C128" t="s">
        <v>133</v>
      </c>
    </row>
    <row r="129" spans="1:3" x14ac:dyDescent="0.2">
      <c r="A129" t="s">
        <v>447</v>
      </c>
      <c r="B129" t="s">
        <v>168</v>
      </c>
      <c r="C129" t="s">
        <v>169</v>
      </c>
    </row>
    <row r="130" spans="1:3" x14ac:dyDescent="0.2">
      <c r="A130" t="s">
        <v>448</v>
      </c>
    </row>
    <row r="131" spans="1:3" x14ac:dyDescent="0.2">
      <c r="A131" t="s">
        <v>449</v>
      </c>
      <c r="B131" t="s">
        <v>134</v>
      </c>
      <c r="C131" t="s">
        <v>135</v>
      </c>
    </row>
    <row r="132" spans="1:3" x14ac:dyDescent="0.2">
      <c r="A132" t="s">
        <v>450</v>
      </c>
      <c r="B132" t="s">
        <v>122</v>
      </c>
      <c r="C132" t="s">
        <v>123</v>
      </c>
    </row>
    <row r="133" spans="1:3" x14ac:dyDescent="0.2">
      <c r="A133" t="s">
        <v>451</v>
      </c>
      <c r="B133" t="s">
        <v>164</v>
      </c>
      <c r="C133" t="s">
        <v>165</v>
      </c>
    </row>
    <row r="134" spans="1:3" x14ac:dyDescent="0.2">
      <c r="A134" t="s">
        <v>452</v>
      </c>
    </row>
    <row r="135" spans="1:3" x14ac:dyDescent="0.2">
      <c r="A135" t="s">
        <v>453</v>
      </c>
    </row>
    <row r="136" spans="1:3" x14ac:dyDescent="0.2">
      <c r="A136" t="s">
        <v>454</v>
      </c>
      <c r="B136" t="s">
        <v>170</v>
      </c>
      <c r="C136" t="s">
        <v>171</v>
      </c>
    </row>
    <row r="137" spans="1:3" x14ac:dyDescent="0.2">
      <c r="A137" t="s">
        <v>455</v>
      </c>
    </row>
    <row r="138" spans="1:3" x14ac:dyDescent="0.2">
      <c r="A138" t="s">
        <v>456</v>
      </c>
    </row>
    <row r="139" spans="1:3" x14ac:dyDescent="0.2">
      <c r="A139" t="s">
        <v>457</v>
      </c>
    </row>
    <row r="140" spans="1:3" x14ac:dyDescent="0.2">
      <c r="A140" t="s">
        <v>458</v>
      </c>
      <c r="B140" t="s">
        <v>112</v>
      </c>
      <c r="C140" t="s">
        <v>113</v>
      </c>
    </row>
    <row r="141" spans="1:3" x14ac:dyDescent="0.2">
      <c r="A141" t="s">
        <v>459</v>
      </c>
      <c r="B141" t="s">
        <v>158</v>
      </c>
      <c r="C141" t="s">
        <v>159</v>
      </c>
    </row>
    <row r="142" spans="1:3" x14ac:dyDescent="0.2">
      <c r="A142" t="s">
        <v>460</v>
      </c>
      <c r="B142" t="s">
        <v>166</v>
      </c>
      <c r="C142" t="s">
        <v>167</v>
      </c>
    </row>
    <row r="143" spans="1:3" x14ac:dyDescent="0.2">
      <c r="A143" t="s">
        <v>461</v>
      </c>
      <c r="B143" t="s">
        <v>128</v>
      </c>
      <c r="C143" t="s">
        <v>129</v>
      </c>
    </row>
    <row r="144" spans="1:3" x14ac:dyDescent="0.2">
      <c r="A144" t="s">
        <v>462</v>
      </c>
    </row>
    <row r="145" spans="1:3" x14ac:dyDescent="0.2">
      <c r="A145" t="s">
        <v>463</v>
      </c>
      <c r="B145" t="s">
        <v>88</v>
      </c>
      <c r="C145" t="s">
        <v>89</v>
      </c>
    </row>
    <row r="146" spans="1:3" x14ac:dyDescent="0.2">
      <c r="A146" t="s">
        <v>464</v>
      </c>
    </row>
    <row r="147" spans="1:3" x14ac:dyDescent="0.2">
      <c r="A147" t="s">
        <v>465</v>
      </c>
    </row>
    <row r="148" spans="1:3" x14ac:dyDescent="0.2">
      <c r="A148" t="s">
        <v>466</v>
      </c>
      <c r="B148" t="s">
        <v>172</v>
      </c>
      <c r="C148" t="s">
        <v>173</v>
      </c>
    </row>
    <row r="149" spans="1:3" x14ac:dyDescent="0.2">
      <c r="A149" t="s">
        <v>467</v>
      </c>
    </row>
    <row r="150" spans="1:3" x14ac:dyDescent="0.2">
      <c r="A150" t="s">
        <v>468</v>
      </c>
      <c r="B150" t="s">
        <v>96</v>
      </c>
      <c r="C150" t="s">
        <v>97</v>
      </c>
    </row>
    <row r="151" spans="1:3" x14ac:dyDescent="0.2">
      <c r="A151" t="s">
        <v>469</v>
      </c>
    </row>
    <row r="152" spans="1:3" x14ac:dyDescent="0.2">
      <c r="A152" t="s">
        <v>470</v>
      </c>
      <c r="B152" t="s">
        <v>166</v>
      </c>
      <c r="C152" t="s">
        <v>167</v>
      </c>
    </row>
    <row r="153" spans="1:3" x14ac:dyDescent="0.2">
      <c r="A153" t="s">
        <v>471</v>
      </c>
    </row>
    <row r="154" spans="1:3" x14ac:dyDescent="0.2">
      <c r="A154" t="s">
        <v>472</v>
      </c>
      <c r="B154" t="s">
        <v>94</v>
      </c>
      <c r="C154" t="s">
        <v>95</v>
      </c>
    </row>
    <row r="155" spans="1:3" x14ac:dyDescent="0.2">
      <c r="A155" t="s">
        <v>473</v>
      </c>
    </row>
    <row r="156" spans="1:3" x14ac:dyDescent="0.2">
      <c r="A156" t="s">
        <v>474</v>
      </c>
      <c r="B156" t="s">
        <v>128</v>
      </c>
      <c r="C156" t="s">
        <v>129</v>
      </c>
    </row>
    <row r="157" spans="1:3" x14ac:dyDescent="0.2">
      <c r="A157" t="s">
        <v>475</v>
      </c>
    </row>
    <row r="158" spans="1:3" x14ac:dyDescent="0.2">
      <c r="A158" t="s">
        <v>476</v>
      </c>
      <c r="B158" t="s">
        <v>124</v>
      </c>
      <c r="C158" t="s">
        <v>125</v>
      </c>
    </row>
    <row r="159" spans="1:3" x14ac:dyDescent="0.2">
      <c r="A159" t="s">
        <v>477</v>
      </c>
    </row>
    <row r="160" spans="1:3" x14ac:dyDescent="0.2">
      <c r="A160" t="s">
        <v>478</v>
      </c>
    </row>
    <row r="161" spans="1:3" x14ac:dyDescent="0.2">
      <c r="A161" t="s">
        <v>479</v>
      </c>
    </row>
    <row r="162" spans="1:3" x14ac:dyDescent="0.2">
      <c r="A162" t="s">
        <v>480</v>
      </c>
      <c r="B162" t="s">
        <v>156</v>
      </c>
      <c r="C162" t="s">
        <v>157</v>
      </c>
    </row>
    <row r="163" spans="1:3" x14ac:dyDescent="0.2">
      <c r="A163" t="s">
        <v>481</v>
      </c>
      <c r="B163" t="s">
        <v>180</v>
      </c>
      <c r="C163" t="s">
        <v>181</v>
      </c>
    </row>
    <row r="164" spans="1:3" x14ac:dyDescent="0.2">
      <c r="A164" t="s">
        <v>482</v>
      </c>
    </row>
    <row r="165" spans="1:3" x14ac:dyDescent="0.2">
      <c r="A165" t="s">
        <v>483</v>
      </c>
    </row>
    <row r="166" spans="1:3" x14ac:dyDescent="0.2">
      <c r="A166" t="s">
        <v>484</v>
      </c>
    </row>
    <row r="167" spans="1:3" x14ac:dyDescent="0.2">
      <c r="A167" t="s">
        <v>485</v>
      </c>
      <c r="B167" t="s">
        <v>94</v>
      </c>
      <c r="C167" t="s">
        <v>95</v>
      </c>
    </row>
    <row r="168" spans="1:3" x14ac:dyDescent="0.2">
      <c r="A168" t="s">
        <v>486</v>
      </c>
      <c r="B168" t="s">
        <v>51</v>
      </c>
      <c r="C168" t="s">
        <v>52</v>
      </c>
    </row>
    <row r="169" spans="1:3" x14ac:dyDescent="0.2">
      <c r="A169" t="s">
        <v>487</v>
      </c>
      <c r="B169" t="s">
        <v>51</v>
      </c>
      <c r="C169" t="s">
        <v>52</v>
      </c>
    </row>
    <row r="170" spans="1:3" x14ac:dyDescent="0.2">
      <c r="A170" t="s">
        <v>488</v>
      </c>
      <c r="B170" t="s">
        <v>55</v>
      </c>
      <c r="C170" t="s">
        <v>56</v>
      </c>
    </row>
    <row r="171" spans="1:3" x14ac:dyDescent="0.2">
      <c r="A171" t="s">
        <v>489</v>
      </c>
      <c r="B171" t="s">
        <v>49</v>
      </c>
      <c r="C171" t="s">
        <v>50</v>
      </c>
    </row>
    <row r="172" spans="1:3" x14ac:dyDescent="0.2">
      <c r="A172" t="s">
        <v>490</v>
      </c>
      <c r="B172" t="s">
        <v>45</v>
      </c>
      <c r="C172" t="s">
        <v>46</v>
      </c>
    </row>
    <row r="173" spans="1:3" x14ac:dyDescent="0.2">
      <c r="A173" t="s">
        <v>491</v>
      </c>
    </row>
    <row r="174" spans="1:3" x14ac:dyDescent="0.2">
      <c r="A174" t="s">
        <v>492</v>
      </c>
      <c r="B174" t="s">
        <v>47</v>
      </c>
      <c r="C174" t="s">
        <v>48</v>
      </c>
    </row>
    <row r="175" spans="1:3" x14ac:dyDescent="0.2">
      <c r="A175" t="s">
        <v>493</v>
      </c>
    </row>
    <row r="176" spans="1:3" x14ac:dyDescent="0.2">
      <c r="A176" t="s">
        <v>494</v>
      </c>
      <c r="B176" t="s">
        <v>43</v>
      </c>
      <c r="C176" t="s">
        <v>44</v>
      </c>
    </row>
    <row r="177" spans="1:3" x14ac:dyDescent="0.2">
      <c r="A177" t="s">
        <v>495</v>
      </c>
      <c r="B177" t="s">
        <v>45</v>
      </c>
      <c r="C177" t="s">
        <v>46</v>
      </c>
    </row>
    <row r="178" spans="1:3" x14ac:dyDescent="0.2">
      <c r="A178" t="s">
        <v>496</v>
      </c>
      <c r="B178" t="s">
        <v>45</v>
      </c>
      <c r="C178" t="s">
        <v>46</v>
      </c>
    </row>
    <row r="179" spans="1:3" x14ac:dyDescent="0.2">
      <c r="A179" t="s">
        <v>497</v>
      </c>
      <c r="B179" t="s">
        <v>45</v>
      </c>
      <c r="C179" t="s">
        <v>46</v>
      </c>
    </row>
    <row r="180" spans="1:3" x14ac:dyDescent="0.2">
      <c r="A180" t="s">
        <v>498</v>
      </c>
      <c r="B180" t="s">
        <v>45</v>
      </c>
      <c r="C180" t="s">
        <v>46</v>
      </c>
    </row>
    <row r="181" spans="1:3" x14ac:dyDescent="0.2">
      <c r="A181" t="s">
        <v>499</v>
      </c>
      <c r="B181" t="s">
        <v>45</v>
      </c>
      <c r="C181" t="s">
        <v>46</v>
      </c>
    </row>
    <row r="182" spans="1:3" x14ac:dyDescent="0.2">
      <c r="A182" t="s">
        <v>500</v>
      </c>
      <c r="B182" t="s">
        <v>45</v>
      </c>
      <c r="C182" t="s">
        <v>46</v>
      </c>
    </row>
    <row r="183" spans="1:3" x14ac:dyDescent="0.2">
      <c r="A183" t="s">
        <v>501</v>
      </c>
      <c r="B183" t="s">
        <v>45</v>
      </c>
      <c r="C183" t="s">
        <v>46</v>
      </c>
    </row>
    <row r="184" spans="1:3" x14ac:dyDescent="0.2">
      <c r="A184" t="s">
        <v>502</v>
      </c>
      <c r="B184" t="s">
        <v>47</v>
      </c>
      <c r="C184" t="s">
        <v>48</v>
      </c>
    </row>
    <row r="185" spans="1:3" x14ac:dyDescent="0.2">
      <c r="A185" t="s">
        <v>503</v>
      </c>
      <c r="B185" t="s">
        <v>45</v>
      </c>
      <c r="C185" t="s">
        <v>46</v>
      </c>
    </row>
    <row r="186" spans="1:3" x14ac:dyDescent="0.2">
      <c r="A186" t="s">
        <v>504</v>
      </c>
      <c r="B186" t="s">
        <v>45</v>
      </c>
      <c r="C186" t="s">
        <v>46</v>
      </c>
    </row>
    <row r="187" spans="1:3" x14ac:dyDescent="0.2">
      <c r="A187" t="s">
        <v>505</v>
      </c>
      <c r="B187" t="s">
        <v>45</v>
      </c>
      <c r="C187" t="s">
        <v>46</v>
      </c>
    </row>
    <row r="188" spans="1:3" x14ac:dyDescent="0.2">
      <c r="A188" t="s">
        <v>506</v>
      </c>
      <c r="B188" t="s">
        <v>45</v>
      </c>
      <c r="C188" t="s">
        <v>46</v>
      </c>
    </row>
    <row r="189" spans="1:3" x14ac:dyDescent="0.2">
      <c r="A189" t="s">
        <v>507</v>
      </c>
      <c r="B189" t="s">
        <v>45</v>
      </c>
      <c r="C189" t="s">
        <v>46</v>
      </c>
    </row>
    <row r="190" spans="1:3" x14ac:dyDescent="0.2">
      <c r="A190" t="s">
        <v>508</v>
      </c>
      <c r="B190" t="s">
        <v>45</v>
      </c>
      <c r="C190" t="s">
        <v>46</v>
      </c>
    </row>
    <row r="191" spans="1:3" x14ac:dyDescent="0.2">
      <c r="A191" t="s">
        <v>509</v>
      </c>
      <c r="B191" t="s">
        <v>45</v>
      </c>
      <c r="C191" t="s">
        <v>46</v>
      </c>
    </row>
    <row r="192" spans="1:3" x14ac:dyDescent="0.2">
      <c r="A192" t="s">
        <v>510</v>
      </c>
      <c r="B192" t="s">
        <v>45</v>
      </c>
      <c r="C192" t="s">
        <v>46</v>
      </c>
    </row>
    <row r="193" spans="1:3" x14ac:dyDescent="0.2">
      <c r="A193" t="s">
        <v>511</v>
      </c>
      <c r="B193" t="s">
        <v>45</v>
      </c>
      <c r="C193" t="s">
        <v>46</v>
      </c>
    </row>
    <row r="194" spans="1:3" x14ac:dyDescent="0.2">
      <c r="A194" t="s">
        <v>512</v>
      </c>
      <c r="B194" t="s">
        <v>45</v>
      </c>
      <c r="C194" t="s">
        <v>46</v>
      </c>
    </row>
    <row r="195" spans="1:3" x14ac:dyDescent="0.2">
      <c r="A195" t="s">
        <v>513</v>
      </c>
      <c r="B195" t="s">
        <v>45</v>
      </c>
      <c r="C195" t="s">
        <v>46</v>
      </c>
    </row>
    <row r="196" spans="1:3" x14ac:dyDescent="0.2">
      <c r="A196" t="s">
        <v>514</v>
      </c>
      <c r="B196" t="s">
        <v>45</v>
      </c>
      <c r="C196" t="s">
        <v>46</v>
      </c>
    </row>
    <row r="197" spans="1:3" x14ac:dyDescent="0.2">
      <c r="A197" t="s">
        <v>515</v>
      </c>
      <c r="B197" t="s">
        <v>45</v>
      </c>
      <c r="C197" t="s">
        <v>46</v>
      </c>
    </row>
    <row r="198" spans="1:3" x14ac:dyDescent="0.2">
      <c r="A198" t="s">
        <v>516</v>
      </c>
    </row>
    <row r="199" spans="1:3" x14ac:dyDescent="0.2">
      <c r="A199" t="s">
        <v>517</v>
      </c>
      <c r="B199" t="s">
        <v>45</v>
      </c>
      <c r="C199" t="s">
        <v>46</v>
      </c>
    </row>
    <row r="200" spans="1:3" x14ac:dyDescent="0.2">
      <c r="A200" t="s">
        <v>518</v>
      </c>
    </row>
    <row r="201" spans="1:3" x14ac:dyDescent="0.2">
      <c r="A201" t="s">
        <v>519</v>
      </c>
      <c r="B201" t="s">
        <v>45</v>
      </c>
      <c r="C201" t="s">
        <v>46</v>
      </c>
    </row>
    <row r="202" spans="1:3" x14ac:dyDescent="0.2">
      <c r="A202" t="s">
        <v>520</v>
      </c>
    </row>
    <row r="203" spans="1:3" x14ac:dyDescent="0.2">
      <c r="A203" t="s">
        <v>521</v>
      </c>
    </row>
    <row r="204" spans="1:3" x14ac:dyDescent="0.2">
      <c r="A204" t="s">
        <v>522</v>
      </c>
      <c r="B204" t="s">
        <v>45</v>
      </c>
      <c r="C204" t="s">
        <v>46</v>
      </c>
    </row>
    <row r="205" spans="1:3" x14ac:dyDescent="0.2">
      <c r="A205" t="s">
        <v>523</v>
      </c>
      <c r="B205" t="s">
        <v>45</v>
      </c>
      <c r="C205" t="s">
        <v>46</v>
      </c>
    </row>
    <row r="206" spans="1:3" x14ac:dyDescent="0.2">
      <c r="A206" t="s">
        <v>524</v>
      </c>
      <c r="B206" t="s">
        <v>45</v>
      </c>
      <c r="C206" t="s">
        <v>46</v>
      </c>
    </row>
    <row r="207" spans="1:3" x14ac:dyDescent="0.2">
      <c r="A207" t="s">
        <v>525</v>
      </c>
    </row>
    <row r="208" spans="1:3" x14ac:dyDescent="0.2">
      <c r="A208" t="s">
        <v>526</v>
      </c>
      <c r="B208" t="s">
        <v>210</v>
      </c>
      <c r="C208" t="s">
        <v>211</v>
      </c>
    </row>
    <row r="209" spans="1:3" x14ac:dyDescent="0.2">
      <c r="A209" t="s">
        <v>527</v>
      </c>
      <c r="B209" t="s">
        <v>210</v>
      </c>
      <c r="C209" t="s">
        <v>211</v>
      </c>
    </row>
    <row r="210" spans="1:3" x14ac:dyDescent="0.2">
      <c r="A210" t="s">
        <v>528</v>
      </c>
    </row>
    <row r="211" spans="1:3" x14ac:dyDescent="0.2">
      <c r="A211" t="s">
        <v>529</v>
      </c>
    </row>
    <row r="212" spans="1:3" x14ac:dyDescent="0.2">
      <c r="A212" t="s">
        <v>530</v>
      </c>
    </row>
    <row r="213" spans="1:3" x14ac:dyDescent="0.2">
      <c r="A213" t="s">
        <v>531</v>
      </c>
    </row>
    <row r="214" spans="1:3" x14ac:dyDescent="0.2">
      <c r="A214" t="s">
        <v>532</v>
      </c>
    </row>
    <row r="215" spans="1:3" x14ac:dyDescent="0.2">
      <c r="A215" t="s">
        <v>533</v>
      </c>
    </row>
    <row r="216" spans="1:3" x14ac:dyDescent="0.2">
      <c r="A216" t="s">
        <v>534</v>
      </c>
    </row>
    <row r="217" spans="1:3" x14ac:dyDescent="0.2">
      <c r="A217" t="s">
        <v>535</v>
      </c>
    </row>
    <row r="218" spans="1:3" x14ac:dyDescent="0.2">
      <c r="A218" t="s">
        <v>536</v>
      </c>
    </row>
    <row r="219" spans="1:3" x14ac:dyDescent="0.2">
      <c r="A219" t="s">
        <v>537</v>
      </c>
    </row>
    <row r="220" spans="1:3" x14ac:dyDescent="0.2">
      <c r="A220" t="s">
        <v>538</v>
      </c>
    </row>
    <row r="221" spans="1:3" x14ac:dyDescent="0.2">
      <c r="A221" t="s">
        <v>539</v>
      </c>
    </row>
    <row r="222" spans="1:3" x14ac:dyDescent="0.2">
      <c r="A222" t="s">
        <v>540</v>
      </c>
    </row>
    <row r="223" spans="1:3" x14ac:dyDescent="0.2">
      <c r="A223" t="s">
        <v>541</v>
      </c>
    </row>
    <row r="224" spans="1:3" x14ac:dyDescent="0.2">
      <c r="A224" t="s">
        <v>542</v>
      </c>
    </row>
    <row r="225" spans="1:3" x14ac:dyDescent="0.2">
      <c r="A225" t="s">
        <v>543</v>
      </c>
      <c r="B225" t="s">
        <v>220</v>
      </c>
      <c r="C225" t="s">
        <v>221</v>
      </c>
    </row>
    <row r="226" spans="1:3" x14ac:dyDescent="0.2">
      <c r="A226" t="s">
        <v>544</v>
      </c>
      <c r="B226" t="s">
        <v>220</v>
      </c>
      <c r="C226" t="s">
        <v>221</v>
      </c>
    </row>
    <row r="227" spans="1:3" x14ac:dyDescent="0.2">
      <c r="A227" t="s">
        <v>545</v>
      </c>
      <c r="B227" t="s">
        <v>220</v>
      </c>
      <c r="C227" t="s">
        <v>221</v>
      </c>
    </row>
    <row r="228" spans="1:3" x14ac:dyDescent="0.2">
      <c r="A228" t="s">
        <v>546</v>
      </c>
      <c r="B228" t="s">
        <v>868</v>
      </c>
      <c r="C228" t="s">
        <v>221</v>
      </c>
    </row>
    <row r="229" spans="1:3" x14ac:dyDescent="0.2">
      <c r="A229" t="s">
        <v>547</v>
      </c>
      <c r="B229" t="s">
        <v>214</v>
      </c>
      <c r="C229" t="s">
        <v>215</v>
      </c>
    </row>
    <row r="230" spans="1:3" x14ac:dyDescent="0.2">
      <c r="A230" t="s">
        <v>548</v>
      </c>
      <c r="B230" t="s">
        <v>216</v>
      </c>
      <c r="C230" t="s">
        <v>217</v>
      </c>
    </row>
    <row r="231" spans="1:3" x14ac:dyDescent="0.2">
      <c r="A231" t="s">
        <v>549</v>
      </c>
    </row>
    <row r="232" spans="1:3" x14ac:dyDescent="0.2">
      <c r="A232" t="s">
        <v>550</v>
      </c>
    </row>
    <row r="233" spans="1:3" x14ac:dyDescent="0.2">
      <c r="A233" t="s">
        <v>551</v>
      </c>
      <c r="B233" t="s">
        <v>208</v>
      </c>
      <c r="C233" t="s">
        <v>209</v>
      </c>
    </row>
    <row r="234" spans="1:3" x14ac:dyDescent="0.2">
      <c r="A234" t="s">
        <v>552</v>
      </c>
      <c r="B234" t="s">
        <v>208</v>
      </c>
      <c r="C234" t="s">
        <v>209</v>
      </c>
    </row>
    <row r="235" spans="1:3" x14ac:dyDescent="0.2">
      <c r="A235" t="s">
        <v>553</v>
      </c>
      <c r="B235" t="s">
        <v>204</v>
      </c>
      <c r="C235" t="s">
        <v>205</v>
      </c>
    </row>
    <row r="236" spans="1:3" x14ac:dyDescent="0.2">
      <c r="A236" t="s">
        <v>554</v>
      </c>
      <c r="B236" t="s">
        <v>206</v>
      </c>
      <c r="C236" t="s">
        <v>207</v>
      </c>
    </row>
    <row r="237" spans="1:3" x14ac:dyDescent="0.2">
      <c r="A237" t="s">
        <v>555</v>
      </c>
      <c r="B237" t="s">
        <v>204</v>
      </c>
      <c r="C237" t="s">
        <v>205</v>
      </c>
    </row>
    <row r="238" spans="1:3" x14ac:dyDescent="0.2">
      <c r="A238" t="s">
        <v>556</v>
      </c>
      <c r="B238" t="s">
        <v>202</v>
      </c>
      <c r="C238" t="s">
        <v>203</v>
      </c>
    </row>
    <row r="239" spans="1:3" x14ac:dyDescent="0.2">
      <c r="A239" t="s">
        <v>557</v>
      </c>
      <c r="B239" t="s">
        <v>202</v>
      </c>
      <c r="C239" t="s">
        <v>203</v>
      </c>
    </row>
    <row r="240" spans="1:3" x14ac:dyDescent="0.2">
      <c r="A240" t="s">
        <v>558</v>
      </c>
      <c r="B240" t="s">
        <v>222</v>
      </c>
      <c r="C240" t="s">
        <v>223</v>
      </c>
    </row>
    <row r="241" spans="1:3" x14ac:dyDescent="0.2">
      <c r="A241" t="s">
        <v>559</v>
      </c>
      <c r="B241" t="s">
        <v>222</v>
      </c>
      <c r="C241" t="s">
        <v>223</v>
      </c>
    </row>
    <row r="242" spans="1:3" x14ac:dyDescent="0.2">
      <c r="A242" t="s">
        <v>560</v>
      </c>
      <c r="B242" t="s">
        <v>222</v>
      </c>
      <c r="C242" t="s">
        <v>223</v>
      </c>
    </row>
    <row r="243" spans="1:3" x14ac:dyDescent="0.2">
      <c r="A243" t="s">
        <v>561</v>
      </c>
      <c r="B243" t="s">
        <v>201</v>
      </c>
      <c r="C243" t="s">
        <v>44</v>
      </c>
    </row>
    <row r="244" spans="1:3" x14ac:dyDescent="0.2">
      <c r="A244" t="s">
        <v>562</v>
      </c>
      <c r="B244" t="s">
        <v>201</v>
      </c>
      <c r="C244" t="s">
        <v>44</v>
      </c>
    </row>
    <row r="245" spans="1:3" x14ac:dyDescent="0.2">
      <c r="A245" t="s">
        <v>563</v>
      </c>
      <c r="B245" t="s">
        <v>201</v>
      </c>
      <c r="C245" t="s">
        <v>44</v>
      </c>
    </row>
    <row r="246" spans="1:3" x14ac:dyDescent="0.2">
      <c r="A246" t="s">
        <v>564</v>
      </c>
    </row>
    <row r="247" spans="1:3" x14ac:dyDescent="0.2">
      <c r="A247" t="s">
        <v>565</v>
      </c>
      <c r="B247" t="s">
        <v>212</v>
      </c>
      <c r="C247" t="s">
        <v>213</v>
      </c>
    </row>
    <row r="248" spans="1:3" x14ac:dyDescent="0.2">
      <c r="A248" t="s">
        <v>566</v>
      </c>
      <c r="B248" t="s">
        <v>218</v>
      </c>
      <c r="C248" t="s">
        <v>219</v>
      </c>
    </row>
    <row r="249" spans="1:3" x14ac:dyDescent="0.2">
      <c r="A249" t="s">
        <v>567</v>
      </c>
      <c r="B249" t="s">
        <v>201</v>
      </c>
      <c r="C249" t="s">
        <v>44</v>
      </c>
    </row>
    <row r="250" spans="1:3" x14ac:dyDescent="0.2">
      <c r="A250" t="s">
        <v>568</v>
      </c>
      <c r="B250" t="s">
        <v>255</v>
      </c>
      <c r="C250" t="s">
        <v>256</v>
      </c>
    </row>
    <row r="251" spans="1:3" x14ac:dyDescent="0.2">
      <c r="A251" t="s">
        <v>569</v>
      </c>
    </row>
    <row r="252" spans="1:3" x14ac:dyDescent="0.2">
      <c r="A252" t="s">
        <v>570</v>
      </c>
    </row>
    <row r="253" spans="1:3" x14ac:dyDescent="0.2">
      <c r="A253" t="s">
        <v>571</v>
      </c>
    </row>
    <row r="254" spans="1:3" x14ac:dyDescent="0.2">
      <c r="A254" t="s">
        <v>572</v>
      </c>
    </row>
    <row r="255" spans="1:3" x14ac:dyDescent="0.2">
      <c r="A255" t="s">
        <v>573</v>
      </c>
    </row>
    <row r="256" spans="1:3" x14ac:dyDescent="0.2">
      <c r="A256" t="s">
        <v>574</v>
      </c>
    </row>
    <row r="257" spans="1:3" x14ac:dyDescent="0.2">
      <c r="A257" t="s">
        <v>575</v>
      </c>
    </row>
    <row r="258" spans="1:3" x14ac:dyDescent="0.2">
      <c r="A258" t="s">
        <v>576</v>
      </c>
      <c r="B258" t="s">
        <v>241</v>
      </c>
      <c r="C258" t="s">
        <v>242</v>
      </c>
    </row>
    <row r="259" spans="1:3" x14ac:dyDescent="0.2">
      <c r="A259" t="s">
        <v>577</v>
      </c>
      <c r="B259" t="s">
        <v>224</v>
      </c>
      <c r="C259" t="s">
        <v>44</v>
      </c>
    </row>
    <row r="260" spans="1:3" x14ac:dyDescent="0.2">
      <c r="A260" t="s">
        <v>578</v>
      </c>
      <c r="B260" t="s">
        <v>224</v>
      </c>
      <c r="C260" t="s">
        <v>44</v>
      </c>
    </row>
    <row r="261" spans="1:3" x14ac:dyDescent="0.2">
      <c r="A261" t="s">
        <v>579</v>
      </c>
      <c r="B261" t="s">
        <v>224</v>
      </c>
      <c r="C261" t="s">
        <v>44</v>
      </c>
    </row>
    <row r="262" spans="1:3" x14ac:dyDescent="0.2">
      <c r="A262" t="s">
        <v>580</v>
      </c>
      <c r="B262" t="s">
        <v>224</v>
      </c>
      <c r="C262" t="s">
        <v>44</v>
      </c>
    </row>
    <row r="263" spans="1:3" x14ac:dyDescent="0.2">
      <c r="A263" t="s">
        <v>581</v>
      </c>
      <c r="B263" t="s">
        <v>224</v>
      </c>
      <c r="C263" t="s">
        <v>44</v>
      </c>
    </row>
    <row r="264" spans="1:3" x14ac:dyDescent="0.2">
      <c r="A264" t="s">
        <v>582</v>
      </c>
      <c r="B264" t="s">
        <v>224</v>
      </c>
      <c r="C264" t="s">
        <v>44</v>
      </c>
    </row>
    <row r="265" spans="1:3" x14ac:dyDescent="0.2">
      <c r="A265" t="s">
        <v>583</v>
      </c>
    </row>
    <row r="266" spans="1:3" x14ac:dyDescent="0.2">
      <c r="A266" t="s">
        <v>584</v>
      </c>
    </row>
    <row r="267" spans="1:3" x14ac:dyDescent="0.2">
      <c r="A267" t="s">
        <v>585</v>
      </c>
      <c r="B267" t="s">
        <v>249</v>
      </c>
      <c r="C267" t="s">
        <v>250</v>
      </c>
    </row>
    <row r="268" spans="1:3" x14ac:dyDescent="0.2">
      <c r="A268" t="s">
        <v>586</v>
      </c>
    </row>
    <row r="269" spans="1:3" x14ac:dyDescent="0.2">
      <c r="A269" t="s">
        <v>587</v>
      </c>
    </row>
    <row r="270" spans="1:3" x14ac:dyDescent="0.2">
      <c r="A270" t="s">
        <v>588</v>
      </c>
    </row>
    <row r="271" spans="1:3" x14ac:dyDescent="0.2">
      <c r="A271" t="s">
        <v>589</v>
      </c>
    </row>
    <row r="272" spans="1:3" x14ac:dyDescent="0.2">
      <c r="A272" t="s">
        <v>590</v>
      </c>
      <c r="B272" t="s">
        <v>231</v>
      </c>
      <c r="C272" t="s">
        <v>232</v>
      </c>
    </row>
    <row r="273" spans="1:3" x14ac:dyDescent="0.2">
      <c r="A273" t="s">
        <v>591</v>
      </c>
      <c r="B273" t="s">
        <v>235</v>
      </c>
      <c r="C273" t="s">
        <v>236</v>
      </c>
    </row>
    <row r="274" spans="1:3" x14ac:dyDescent="0.2">
      <c r="A274" t="s">
        <v>592</v>
      </c>
      <c r="B274" t="s">
        <v>224</v>
      </c>
      <c r="C274" t="s">
        <v>44</v>
      </c>
    </row>
    <row r="275" spans="1:3" x14ac:dyDescent="0.2">
      <c r="A275" t="s">
        <v>593</v>
      </c>
      <c r="B275" t="s">
        <v>224</v>
      </c>
      <c r="C275" t="s">
        <v>44</v>
      </c>
    </row>
    <row r="276" spans="1:3" x14ac:dyDescent="0.2">
      <c r="A276" t="s">
        <v>594</v>
      </c>
      <c r="B276" t="s">
        <v>224</v>
      </c>
      <c r="C276" t="s">
        <v>44</v>
      </c>
    </row>
    <row r="277" spans="1:3" x14ac:dyDescent="0.2">
      <c r="A277" t="s">
        <v>595</v>
      </c>
      <c r="B277" t="s">
        <v>224</v>
      </c>
      <c r="C277" t="s">
        <v>44</v>
      </c>
    </row>
    <row r="278" spans="1:3" x14ac:dyDescent="0.2">
      <c r="A278" t="s">
        <v>596</v>
      </c>
      <c r="B278" t="s">
        <v>247</v>
      </c>
      <c r="C278" t="s">
        <v>248</v>
      </c>
    </row>
    <row r="279" spans="1:3" x14ac:dyDescent="0.2">
      <c r="A279" t="s">
        <v>597</v>
      </c>
      <c r="B279" t="s">
        <v>227</v>
      </c>
      <c r="C279" t="s">
        <v>228</v>
      </c>
    </row>
    <row r="280" spans="1:3" x14ac:dyDescent="0.2">
      <c r="A280" t="s">
        <v>598</v>
      </c>
      <c r="B280" t="s">
        <v>229</v>
      </c>
      <c r="C280" t="s">
        <v>230</v>
      </c>
    </row>
    <row r="281" spans="1:3" x14ac:dyDescent="0.2">
      <c r="A281" t="s">
        <v>599</v>
      </c>
      <c r="B281" t="s">
        <v>253</v>
      </c>
      <c r="C281" t="s">
        <v>254</v>
      </c>
    </row>
    <row r="282" spans="1:3" x14ac:dyDescent="0.2">
      <c r="A282" t="s">
        <v>600</v>
      </c>
      <c r="B282" t="s">
        <v>243</v>
      </c>
      <c r="C282" t="s">
        <v>244</v>
      </c>
    </row>
    <row r="283" spans="1:3" x14ac:dyDescent="0.2">
      <c r="A283" t="s">
        <v>601</v>
      </c>
      <c r="B283" t="s">
        <v>243</v>
      </c>
      <c r="C283" t="s">
        <v>244</v>
      </c>
    </row>
    <row r="284" spans="1:3" x14ac:dyDescent="0.2">
      <c r="A284" t="s">
        <v>602</v>
      </c>
      <c r="B284" t="s">
        <v>243</v>
      </c>
      <c r="C284" t="s">
        <v>244</v>
      </c>
    </row>
    <row r="285" spans="1:3" x14ac:dyDescent="0.2">
      <c r="A285" t="s">
        <v>603</v>
      </c>
      <c r="B285" t="s">
        <v>233</v>
      </c>
      <c r="C285" t="s">
        <v>234</v>
      </c>
    </row>
    <row r="286" spans="1:3" x14ac:dyDescent="0.2">
      <c r="A286" t="s">
        <v>604</v>
      </c>
      <c r="B286" t="s">
        <v>233</v>
      </c>
      <c r="C286" t="s">
        <v>234</v>
      </c>
    </row>
    <row r="287" spans="1:3" x14ac:dyDescent="0.2">
      <c r="A287" t="s">
        <v>605</v>
      </c>
      <c r="B287" t="s">
        <v>233</v>
      </c>
      <c r="C287" t="s">
        <v>234</v>
      </c>
    </row>
    <row r="288" spans="1:3" x14ac:dyDescent="0.2">
      <c r="A288" t="s">
        <v>606</v>
      </c>
      <c r="B288" t="s">
        <v>225</v>
      </c>
      <c r="C288" t="s">
        <v>226</v>
      </c>
    </row>
    <row r="289" spans="1:3" x14ac:dyDescent="0.2">
      <c r="A289" t="s">
        <v>607</v>
      </c>
      <c r="B289" t="s">
        <v>225</v>
      </c>
      <c r="C289" t="s">
        <v>226</v>
      </c>
    </row>
    <row r="290" spans="1:3" x14ac:dyDescent="0.2">
      <c r="A290" t="s">
        <v>608</v>
      </c>
      <c r="B290" t="s">
        <v>225</v>
      </c>
      <c r="C290" t="s">
        <v>226</v>
      </c>
    </row>
    <row r="291" spans="1:3" x14ac:dyDescent="0.2">
      <c r="A291" t="s">
        <v>609</v>
      </c>
      <c r="B291" t="s">
        <v>237</v>
      </c>
      <c r="C291" t="s">
        <v>238</v>
      </c>
    </row>
    <row r="292" spans="1:3" x14ac:dyDescent="0.2">
      <c r="A292" t="s">
        <v>610</v>
      </c>
      <c r="B292" t="s">
        <v>237</v>
      </c>
      <c r="C292" t="s">
        <v>238</v>
      </c>
    </row>
    <row r="293" spans="1:3" x14ac:dyDescent="0.2">
      <c r="A293" t="s">
        <v>611</v>
      </c>
      <c r="B293" t="s">
        <v>237</v>
      </c>
      <c r="C293" t="s">
        <v>238</v>
      </c>
    </row>
    <row r="294" spans="1:3" x14ac:dyDescent="0.2">
      <c r="A294" t="s">
        <v>612</v>
      </c>
    </row>
    <row r="295" spans="1:3" x14ac:dyDescent="0.2">
      <c r="A295" t="s">
        <v>613</v>
      </c>
      <c r="B295" t="s">
        <v>262</v>
      </c>
      <c r="C295" t="s">
        <v>263</v>
      </c>
    </row>
    <row r="296" spans="1:3" x14ac:dyDescent="0.2">
      <c r="A296" t="s">
        <v>614</v>
      </c>
    </row>
    <row r="297" spans="1:3" x14ac:dyDescent="0.2">
      <c r="A297" t="s">
        <v>615</v>
      </c>
      <c r="B297" t="s">
        <v>262</v>
      </c>
      <c r="C297" t="s">
        <v>263</v>
      </c>
    </row>
    <row r="298" spans="1:3" x14ac:dyDescent="0.2">
      <c r="A298" t="s">
        <v>616</v>
      </c>
      <c r="B298" t="s">
        <v>264</v>
      </c>
      <c r="C298" t="s">
        <v>265</v>
      </c>
    </row>
    <row r="299" spans="1:3" x14ac:dyDescent="0.2">
      <c r="A299" t="s">
        <v>617</v>
      </c>
    </row>
    <row r="300" spans="1:3" x14ac:dyDescent="0.2">
      <c r="A300" t="s">
        <v>618</v>
      </c>
    </row>
    <row r="301" spans="1:3" x14ac:dyDescent="0.2">
      <c r="A301" t="s">
        <v>619</v>
      </c>
      <c r="B301" t="s">
        <v>239</v>
      </c>
      <c r="C301" t="s">
        <v>240</v>
      </c>
    </row>
    <row r="302" spans="1:3" x14ac:dyDescent="0.2">
      <c r="A302" t="s">
        <v>620</v>
      </c>
      <c r="B302" t="s">
        <v>239</v>
      </c>
      <c r="C302" t="s">
        <v>240</v>
      </c>
    </row>
    <row r="303" spans="1:3" x14ac:dyDescent="0.2">
      <c r="A303" t="s">
        <v>621</v>
      </c>
    </row>
    <row r="304" spans="1:3" x14ac:dyDescent="0.2">
      <c r="A304" t="s">
        <v>622</v>
      </c>
    </row>
    <row r="305" spans="1:3" x14ac:dyDescent="0.2">
      <c r="A305" t="s">
        <v>623</v>
      </c>
    </row>
    <row r="306" spans="1:3" x14ac:dyDescent="0.2">
      <c r="A306" t="s">
        <v>624</v>
      </c>
    </row>
    <row r="307" spans="1:3" x14ac:dyDescent="0.2">
      <c r="A307" t="s">
        <v>625</v>
      </c>
    </row>
    <row r="308" spans="1:3" x14ac:dyDescent="0.2">
      <c r="A308" t="s">
        <v>626</v>
      </c>
    </row>
    <row r="309" spans="1:3" x14ac:dyDescent="0.2">
      <c r="A309" t="s">
        <v>627</v>
      </c>
    </row>
    <row r="310" spans="1:3" x14ac:dyDescent="0.2">
      <c r="A310" t="s">
        <v>628</v>
      </c>
    </row>
    <row r="311" spans="1:3" x14ac:dyDescent="0.2">
      <c r="A311" t="s">
        <v>629</v>
      </c>
      <c r="B311" t="s">
        <v>224</v>
      </c>
      <c r="C311" t="s">
        <v>44</v>
      </c>
    </row>
    <row r="312" spans="1:3" x14ac:dyDescent="0.2">
      <c r="A312" t="s">
        <v>630</v>
      </c>
      <c r="B312" t="s">
        <v>224</v>
      </c>
      <c r="C312" t="s">
        <v>44</v>
      </c>
    </row>
    <row r="313" spans="1:3" x14ac:dyDescent="0.2">
      <c r="A313" t="s">
        <v>631</v>
      </c>
    </row>
    <row r="314" spans="1:3" x14ac:dyDescent="0.2">
      <c r="A314" t="s">
        <v>632</v>
      </c>
      <c r="B314" t="s">
        <v>224</v>
      </c>
      <c r="C314" t="s">
        <v>44</v>
      </c>
    </row>
    <row r="315" spans="1:3" x14ac:dyDescent="0.2">
      <c r="A315" t="s">
        <v>633</v>
      </c>
      <c r="B315" t="s">
        <v>224</v>
      </c>
      <c r="C315" t="s">
        <v>44</v>
      </c>
    </row>
    <row r="316" spans="1:3" x14ac:dyDescent="0.2">
      <c r="A316" t="s">
        <v>634</v>
      </c>
    </row>
    <row r="317" spans="1:3" x14ac:dyDescent="0.2">
      <c r="A317" t="s">
        <v>635</v>
      </c>
      <c r="B317" t="s">
        <v>224</v>
      </c>
      <c r="C317" t="s">
        <v>44</v>
      </c>
    </row>
    <row r="318" spans="1:3" x14ac:dyDescent="0.2">
      <c r="A318" t="s">
        <v>636</v>
      </c>
    </row>
    <row r="319" spans="1:3" x14ac:dyDescent="0.2">
      <c r="A319" t="s">
        <v>637</v>
      </c>
      <c r="B319" t="s">
        <v>224</v>
      </c>
      <c r="C319" t="s">
        <v>44</v>
      </c>
    </row>
    <row r="320" spans="1:3" x14ac:dyDescent="0.2">
      <c r="A320" t="s">
        <v>638</v>
      </c>
      <c r="B320" t="s">
        <v>224</v>
      </c>
      <c r="C320" t="s">
        <v>44</v>
      </c>
    </row>
    <row r="321" spans="1:3" x14ac:dyDescent="0.2">
      <c r="A321" t="s">
        <v>639</v>
      </c>
      <c r="B321" t="s">
        <v>251</v>
      </c>
      <c r="C321" t="s">
        <v>252</v>
      </c>
    </row>
    <row r="322" spans="1:3" x14ac:dyDescent="0.2">
      <c r="A322" t="s">
        <v>640</v>
      </c>
      <c r="B322" t="s">
        <v>251</v>
      </c>
      <c r="C322" t="s">
        <v>252</v>
      </c>
    </row>
    <row r="323" spans="1:3" x14ac:dyDescent="0.2">
      <c r="A323" t="s">
        <v>641</v>
      </c>
      <c r="B323" t="s">
        <v>245</v>
      </c>
      <c r="C323" t="s">
        <v>246</v>
      </c>
    </row>
    <row r="324" spans="1:3" x14ac:dyDescent="0.2">
      <c r="A324" t="s">
        <v>642</v>
      </c>
      <c r="B324" t="s">
        <v>245</v>
      </c>
      <c r="C324" t="s">
        <v>246</v>
      </c>
    </row>
    <row r="325" spans="1:3" x14ac:dyDescent="0.2">
      <c r="A325" t="s">
        <v>643</v>
      </c>
      <c r="B325" t="s">
        <v>57</v>
      </c>
      <c r="C325" t="s">
        <v>44</v>
      </c>
    </row>
    <row r="326" spans="1:3" x14ac:dyDescent="0.2">
      <c r="A326" t="s">
        <v>644</v>
      </c>
      <c r="B326" t="s">
        <v>74</v>
      </c>
      <c r="C326" t="s">
        <v>75</v>
      </c>
    </row>
    <row r="327" spans="1:3" x14ac:dyDescent="0.2">
      <c r="A327" t="s">
        <v>645</v>
      </c>
      <c r="B327" t="s">
        <v>74</v>
      </c>
      <c r="C327" t="s">
        <v>75</v>
      </c>
    </row>
    <row r="328" spans="1:3" x14ac:dyDescent="0.2">
      <c r="A328" t="s">
        <v>646</v>
      </c>
    </row>
    <row r="329" spans="1:3" x14ac:dyDescent="0.2">
      <c r="A329" t="s">
        <v>647</v>
      </c>
      <c r="B329" t="s">
        <v>76</v>
      </c>
      <c r="C329" t="s">
        <v>77</v>
      </c>
    </row>
    <row r="330" spans="1:3" x14ac:dyDescent="0.2">
      <c r="A330" t="s">
        <v>648</v>
      </c>
      <c r="B330" t="s">
        <v>70</v>
      </c>
      <c r="C330" t="s">
        <v>71</v>
      </c>
    </row>
    <row r="331" spans="1:3" x14ac:dyDescent="0.2">
      <c r="A331" t="s">
        <v>649</v>
      </c>
      <c r="B331" t="s">
        <v>70</v>
      </c>
      <c r="C331" t="s">
        <v>71</v>
      </c>
    </row>
    <row r="332" spans="1:3" x14ac:dyDescent="0.2">
      <c r="A332" t="s">
        <v>650</v>
      </c>
    </row>
    <row r="333" spans="1:3" x14ac:dyDescent="0.2">
      <c r="A333" t="s">
        <v>651</v>
      </c>
      <c r="B333" t="s">
        <v>68</v>
      </c>
      <c r="C333" t="s">
        <v>69</v>
      </c>
    </row>
    <row r="334" spans="1:3" x14ac:dyDescent="0.2">
      <c r="A334" t="s">
        <v>652</v>
      </c>
      <c r="B334" t="s">
        <v>62</v>
      </c>
      <c r="C334" t="s">
        <v>63</v>
      </c>
    </row>
    <row r="335" spans="1:3" x14ac:dyDescent="0.2">
      <c r="A335" t="s">
        <v>653</v>
      </c>
      <c r="B335" t="s">
        <v>62</v>
      </c>
      <c r="C335" t="s">
        <v>63</v>
      </c>
    </row>
    <row r="336" spans="1:3" x14ac:dyDescent="0.2">
      <c r="A336" t="s">
        <v>654</v>
      </c>
      <c r="B336" t="s">
        <v>60</v>
      </c>
      <c r="C336" t="s">
        <v>61</v>
      </c>
    </row>
    <row r="337" spans="1:3" x14ac:dyDescent="0.2">
      <c r="A337" t="s">
        <v>655</v>
      </c>
      <c r="B337" t="s">
        <v>58</v>
      </c>
      <c r="C337" t="s">
        <v>59</v>
      </c>
    </row>
    <row r="338" spans="1:3" x14ac:dyDescent="0.2">
      <c r="A338" t="s">
        <v>656</v>
      </c>
    </row>
    <row r="339" spans="1:3" x14ac:dyDescent="0.2">
      <c r="A339" t="s">
        <v>657</v>
      </c>
      <c r="B339" t="s">
        <v>72</v>
      </c>
      <c r="C339" t="s">
        <v>73</v>
      </c>
    </row>
    <row r="340" spans="1:3" x14ac:dyDescent="0.2">
      <c r="A340" t="s">
        <v>658</v>
      </c>
      <c r="B340" t="s">
        <v>80</v>
      </c>
      <c r="C340" t="s">
        <v>81</v>
      </c>
    </row>
    <row r="341" spans="1:3" x14ac:dyDescent="0.2">
      <c r="A341" t="s">
        <v>659</v>
      </c>
    </row>
    <row r="342" spans="1:3" x14ac:dyDescent="0.2">
      <c r="A342" t="s">
        <v>660</v>
      </c>
    </row>
    <row r="343" spans="1:3" x14ac:dyDescent="0.2">
      <c r="A343" t="s">
        <v>661</v>
      </c>
    </row>
    <row r="344" spans="1:3" x14ac:dyDescent="0.2">
      <c r="A344" t="s">
        <v>662</v>
      </c>
    </row>
    <row r="345" spans="1:3" x14ac:dyDescent="0.2">
      <c r="A345" t="s">
        <v>663</v>
      </c>
    </row>
    <row r="346" spans="1:3" x14ac:dyDescent="0.2">
      <c r="A346" t="s">
        <v>664</v>
      </c>
      <c r="B346" t="s">
        <v>66</v>
      </c>
      <c r="C346" t="s">
        <v>67</v>
      </c>
    </row>
    <row r="347" spans="1:3" x14ac:dyDescent="0.2">
      <c r="A347" t="s">
        <v>665</v>
      </c>
      <c r="B347" t="s">
        <v>64</v>
      </c>
      <c r="C347" t="s">
        <v>65</v>
      </c>
    </row>
    <row r="348" spans="1:3" x14ac:dyDescent="0.2">
      <c r="A348" t="s">
        <v>666</v>
      </c>
    </row>
    <row r="349" spans="1:3" x14ac:dyDescent="0.2">
      <c r="A349" t="s">
        <v>667</v>
      </c>
    </row>
    <row r="350" spans="1:3" x14ac:dyDescent="0.2">
      <c r="A350" t="s">
        <v>668</v>
      </c>
    </row>
    <row r="351" spans="1:3" x14ac:dyDescent="0.2">
      <c r="A351" t="s">
        <v>669</v>
      </c>
    </row>
    <row r="352" spans="1:3" x14ac:dyDescent="0.2">
      <c r="A352" t="s">
        <v>670</v>
      </c>
    </row>
    <row r="353" spans="1:3" x14ac:dyDescent="0.2">
      <c r="A353" t="s">
        <v>671</v>
      </c>
    </row>
    <row r="354" spans="1:3" x14ac:dyDescent="0.2">
      <c r="A354" t="s">
        <v>672</v>
      </c>
    </row>
    <row r="355" spans="1:3" x14ac:dyDescent="0.2">
      <c r="A355" t="s">
        <v>673</v>
      </c>
    </row>
    <row r="356" spans="1:3" x14ac:dyDescent="0.2">
      <c r="A356" t="s">
        <v>674</v>
      </c>
      <c r="B356" t="s">
        <v>78</v>
      </c>
      <c r="C356" t="s">
        <v>79</v>
      </c>
    </row>
    <row r="357" spans="1:3" x14ac:dyDescent="0.2">
      <c r="A357" t="s">
        <v>675</v>
      </c>
    </row>
    <row r="358" spans="1:3" x14ac:dyDescent="0.2">
      <c r="A358" t="s">
        <v>676</v>
      </c>
    </row>
    <row r="359" spans="1:3" x14ac:dyDescent="0.2">
      <c r="A359" t="s">
        <v>677</v>
      </c>
    </row>
    <row r="360" spans="1:3" x14ac:dyDescent="0.2">
      <c r="A360" t="s">
        <v>678</v>
      </c>
      <c r="B360" t="s">
        <v>74</v>
      </c>
      <c r="C360" t="s">
        <v>75</v>
      </c>
    </row>
    <row r="361" spans="1:3" x14ac:dyDescent="0.2">
      <c r="A361" t="s">
        <v>679</v>
      </c>
    </row>
    <row r="362" spans="1:3" x14ac:dyDescent="0.2">
      <c r="A362" t="s">
        <v>680</v>
      </c>
    </row>
    <row r="363" spans="1:3" x14ac:dyDescent="0.2">
      <c r="A363" t="s">
        <v>681</v>
      </c>
    </row>
    <row r="364" spans="1:3" x14ac:dyDescent="0.2">
      <c r="A364" t="s">
        <v>682</v>
      </c>
      <c r="B364" t="s">
        <v>74</v>
      </c>
      <c r="C364" t="s">
        <v>75</v>
      </c>
    </row>
    <row r="365" spans="1:3" x14ac:dyDescent="0.2">
      <c r="A365" t="s">
        <v>683</v>
      </c>
      <c r="B365" t="s">
        <v>74</v>
      </c>
      <c r="C365" t="s">
        <v>75</v>
      </c>
    </row>
    <row r="366" spans="1:3" x14ac:dyDescent="0.2">
      <c r="A366" t="s">
        <v>684</v>
      </c>
    </row>
    <row r="367" spans="1:3" x14ac:dyDescent="0.2">
      <c r="A367" t="s">
        <v>685</v>
      </c>
    </row>
    <row r="368" spans="1:3" x14ac:dyDescent="0.2">
      <c r="A368" t="s">
        <v>686</v>
      </c>
    </row>
    <row r="369" spans="1:3" x14ac:dyDescent="0.2">
      <c r="A369" t="s">
        <v>687</v>
      </c>
    </row>
    <row r="370" spans="1:3" x14ac:dyDescent="0.2">
      <c r="A370" t="s">
        <v>688</v>
      </c>
      <c r="B370" t="s">
        <v>82</v>
      </c>
      <c r="C370" t="s">
        <v>83</v>
      </c>
    </row>
    <row r="371" spans="1:3" x14ac:dyDescent="0.2">
      <c r="A371" t="s">
        <v>689</v>
      </c>
    </row>
    <row r="372" spans="1:3" x14ac:dyDescent="0.2">
      <c r="A372" t="s">
        <v>690</v>
      </c>
      <c r="B372" t="s">
        <v>37</v>
      </c>
      <c r="C372" t="s">
        <v>38</v>
      </c>
    </row>
    <row r="373" spans="1:3" x14ac:dyDescent="0.2">
      <c r="A373" t="s">
        <v>691</v>
      </c>
      <c r="B373" t="s">
        <v>33</v>
      </c>
      <c r="C373" t="s">
        <v>34</v>
      </c>
    </row>
    <row r="374" spans="1:3" x14ac:dyDescent="0.2">
      <c r="A374" t="s">
        <v>692</v>
      </c>
      <c r="B374" t="s">
        <v>35</v>
      </c>
      <c r="C374" t="s">
        <v>36</v>
      </c>
    </row>
    <row r="375" spans="1:3" x14ac:dyDescent="0.2">
      <c r="A375" t="s">
        <v>693</v>
      </c>
      <c r="B375" t="s">
        <v>31</v>
      </c>
      <c r="C375" t="s">
        <v>32</v>
      </c>
    </row>
    <row r="376" spans="1:3" x14ac:dyDescent="0.2">
      <c r="A376" t="s">
        <v>694</v>
      </c>
      <c r="B376" t="s">
        <v>27</v>
      </c>
      <c r="C376" t="s">
        <v>28</v>
      </c>
    </row>
    <row r="377" spans="1:3" x14ac:dyDescent="0.2">
      <c r="A377" t="s">
        <v>695</v>
      </c>
      <c r="B377" t="s">
        <v>29</v>
      </c>
      <c r="C377" t="s">
        <v>30</v>
      </c>
    </row>
    <row r="378" spans="1:3" x14ac:dyDescent="0.2">
      <c r="A378" t="s">
        <v>696</v>
      </c>
      <c r="B378" t="s">
        <v>25</v>
      </c>
      <c r="C378" t="s">
        <v>26</v>
      </c>
    </row>
    <row r="379" spans="1:3" x14ac:dyDescent="0.2">
      <c r="A379" t="s">
        <v>697</v>
      </c>
      <c r="B379" t="s">
        <v>37</v>
      </c>
      <c r="C379" t="s">
        <v>38</v>
      </c>
    </row>
    <row r="380" spans="1:3" x14ac:dyDescent="0.2">
      <c r="A380" t="s">
        <v>698</v>
      </c>
      <c r="B380" t="s">
        <v>270</v>
      </c>
      <c r="C380" t="s">
        <v>271</v>
      </c>
    </row>
    <row r="381" spans="1:3" x14ac:dyDescent="0.2">
      <c r="A381" t="s">
        <v>699</v>
      </c>
      <c r="B381" t="s">
        <v>272</v>
      </c>
      <c r="C381" t="s">
        <v>273</v>
      </c>
    </row>
    <row r="382" spans="1:3" x14ac:dyDescent="0.2">
      <c r="A382" t="s">
        <v>700</v>
      </c>
      <c r="B382" t="s">
        <v>272</v>
      </c>
      <c r="C382" t="s">
        <v>273</v>
      </c>
    </row>
    <row r="383" spans="1:3" x14ac:dyDescent="0.2">
      <c r="A383" t="s">
        <v>701</v>
      </c>
      <c r="B383" t="s">
        <v>272</v>
      </c>
      <c r="C383" t="s">
        <v>273</v>
      </c>
    </row>
    <row r="384" spans="1:3" x14ac:dyDescent="0.2">
      <c r="A384" t="s">
        <v>702</v>
      </c>
      <c r="B384" t="s">
        <v>272</v>
      </c>
      <c r="C384" t="s">
        <v>273</v>
      </c>
    </row>
    <row r="385" spans="1:3" x14ac:dyDescent="0.2">
      <c r="A385" t="s">
        <v>703</v>
      </c>
      <c r="B385" t="s">
        <v>276</v>
      </c>
      <c r="C385" t="s">
        <v>277</v>
      </c>
    </row>
    <row r="386" spans="1:3" x14ac:dyDescent="0.2">
      <c r="A386" t="s">
        <v>704</v>
      </c>
      <c r="B386" t="s">
        <v>276</v>
      </c>
      <c r="C386" t="s">
        <v>277</v>
      </c>
    </row>
    <row r="387" spans="1:3" x14ac:dyDescent="0.2">
      <c r="A387" t="s">
        <v>705</v>
      </c>
      <c r="B387" t="s">
        <v>258</v>
      </c>
      <c r="C387" t="s">
        <v>259</v>
      </c>
    </row>
    <row r="388" spans="1:3" x14ac:dyDescent="0.2">
      <c r="A388" t="s">
        <v>706</v>
      </c>
      <c r="B388" t="s">
        <v>258</v>
      </c>
      <c r="C388" t="s">
        <v>259</v>
      </c>
    </row>
    <row r="389" spans="1:3" x14ac:dyDescent="0.2">
      <c r="A389" t="s">
        <v>707</v>
      </c>
      <c r="B389" t="s">
        <v>258</v>
      </c>
      <c r="C389" t="s">
        <v>259</v>
      </c>
    </row>
    <row r="390" spans="1:3" x14ac:dyDescent="0.2">
      <c r="A390" t="s">
        <v>708</v>
      </c>
      <c r="B390" t="s">
        <v>258</v>
      </c>
      <c r="C390" t="s">
        <v>259</v>
      </c>
    </row>
    <row r="391" spans="1:3" x14ac:dyDescent="0.2">
      <c r="A391" t="s">
        <v>709</v>
      </c>
      <c r="B391" t="s">
        <v>258</v>
      </c>
      <c r="C391" t="s">
        <v>259</v>
      </c>
    </row>
    <row r="392" spans="1:3" x14ac:dyDescent="0.2">
      <c r="A392" t="s">
        <v>710</v>
      </c>
      <c r="B392" t="s">
        <v>258</v>
      </c>
      <c r="C392" t="s">
        <v>259</v>
      </c>
    </row>
    <row r="393" spans="1:3" x14ac:dyDescent="0.2">
      <c r="A393" t="s">
        <v>711</v>
      </c>
      <c r="B393" t="s">
        <v>274</v>
      </c>
      <c r="C393" t="s">
        <v>275</v>
      </c>
    </row>
    <row r="394" spans="1:3" x14ac:dyDescent="0.2">
      <c r="A394" t="s">
        <v>712</v>
      </c>
      <c r="B394" t="s">
        <v>274</v>
      </c>
      <c r="C394" t="s">
        <v>275</v>
      </c>
    </row>
    <row r="395" spans="1:3" x14ac:dyDescent="0.2">
      <c r="A395" t="s">
        <v>713</v>
      </c>
      <c r="B395" t="s">
        <v>274</v>
      </c>
      <c r="C395" t="s">
        <v>275</v>
      </c>
    </row>
    <row r="396" spans="1:3" x14ac:dyDescent="0.2">
      <c r="A396" t="s">
        <v>714</v>
      </c>
      <c r="B396" t="s">
        <v>274</v>
      </c>
      <c r="C396" t="s">
        <v>275</v>
      </c>
    </row>
    <row r="397" spans="1:3" x14ac:dyDescent="0.2">
      <c r="A397" t="s">
        <v>715</v>
      </c>
      <c r="B397" t="s">
        <v>274</v>
      </c>
      <c r="C397" t="s">
        <v>275</v>
      </c>
    </row>
    <row r="398" spans="1:3" x14ac:dyDescent="0.2">
      <c r="A398" t="s">
        <v>716</v>
      </c>
      <c r="B398" t="s">
        <v>274</v>
      </c>
      <c r="C398" t="s">
        <v>275</v>
      </c>
    </row>
    <row r="399" spans="1:3" x14ac:dyDescent="0.2">
      <c r="A399" t="s">
        <v>717</v>
      </c>
      <c r="B399" t="s">
        <v>274</v>
      </c>
      <c r="C399" t="s">
        <v>275</v>
      </c>
    </row>
    <row r="400" spans="1:3" x14ac:dyDescent="0.2">
      <c r="A400" t="s">
        <v>718</v>
      </c>
      <c r="B400" t="s">
        <v>274</v>
      </c>
      <c r="C400" t="s">
        <v>275</v>
      </c>
    </row>
    <row r="401" spans="1:3" x14ac:dyDescent="0.2">
      <c r="A401" t="s">
        <v>719</v>
      </c>
      <c r="B401" t="s">
        <v>270</v>
      </c>
      <c r="C401" t="s">
        <v>271</v>
      </c>
    </row>
    <row r="402" spans="1:3" x14ac:dyDescent="0.2">
      <c r="A402" t="s">
        <v>720</v>
      </c>
      <c r="B402" t="s">
        <v>274</v>
      </c>
      <c r="C402" t="s">
        <v>275</v>
      </c>
    </row>
    <row r="403" spans="1:3" x14ac:dyDescent="0.2">
      <c r="A403" t="s">
        <v>721</v>
      </c>
      <c r="B403" t="s">
        <v>274</v>
      </c>
      <c r="C403" t="s">
        <v>275</v>
      </c>
    </row>
    <row r="404" spans="1:3" x14ac:dyDescent="0.2">
      <c r="A404" t="s">
        <v>722</v>
      </c>
      <c r="B404" t="s">
        <v>266</v>
      </c>
      <c r="C404" t="s">
        <v>267</v>
      </c>
    </row>
    <row r="405" spans="1:3" x14ac:dyDescent="0.2">
      <c r="A405" t="s">
        <v>723</v>
      </c>
      <c r="B405" t="s">
        <v>266</v>
      </c>
      <c r="C405" t="s">
        <v>267</v>
      </c>
    </row>
    <row r="406" spans="1:3" x14ac:dyDescent="0.2">
      <c r="A406" t="s">
        <v>724</v>
      </c>
      <c r="B406" t="s">
        <v>266</v>
      </c>
      <c r="C406" t="s">
        <v>267</v>
      </c>
    </row>
    <row r="407" spans="1:3" x14ac:dyDescent="0.2">
      <c r="A407" t="s">
        <v>725</v>
      </c>
      <c r="B407" t="s">
        <v>266</v>
      </c>
      <c r="C407" t="s">
        <v>267</v>
      </c>
    </row>
    <row r="408" spans="1:3" x14ac:dyDescent="0.2">
      <c r="A408" t="s">
        <v>726</v>
      </c>
      <c r="B408" t="s">
        <v>266</v>
      </c>
      <c r="C408" t="s">
        <v>267</v>
      </c>
    </row>
    <row r="409" spans="1:3" x14ac:dyDescent="0.2">
      <c r="A409" t="s">
        <v>727</v>
      </c>
      <c r="B409" t="s">
        <v>266</v>
      </c>
      <c r="C409" t="s">
        <v>267</v>
      </c>
    </row>
    <row r="410" spans="1:3" x14ac:dyDescent="0.2">
      <c r="A410" t="s">
        <v>728</v>
      </c>
      <c r="B410" t="s">
        <v>266</v>
      </c>
      <c r="C410" t="s">
        <v>267</v>
      </c>
    </row>
    <row r="411" spans="1:3" x14ac:dyDescent="0.2">
      <c r="A411" t="s">
        <v>729</v>
      </c>
      <c r="B411" t="s">
        <v>266</v>
      </c>
      <c r="C411" t="s">
        <v>267</v>
      </c>
    </row>
    <row r="412" spans="1:3" x14ac:dyDescent="0.2">
      <c r="A412" t="s">
        <v>730</v>
      </c>
      <c r="B412" t="s">
        <v>266</v>
      </c>
      <c r="C412" t="s">
        <v>267</v>
      </c>
    </row>
    <row r="413" spans="1:3" x14ac:dyDescent="0.2">
      <c r="A413" t="s">
        <v>731</v>
      </c>
      <c r="B413" t="s">
        <v>266</v>
      </c>
      <c r="C413" t="s">
        <v>267</v>
      </c>
    </row>
    <row r="414" spans="1:3" x14ac:dyDescent="0.2">
      <c r="A414" t="s">
        <v>732</v>
      </c>
      <c r="B414" t="s">
        <v>266</v>
      </c>
      <c r="C414" t="s">
        <v>267</v>
      </c>
    </row>
    <row r="415" spans="1:3" x14ac:dyDescent="0.2">
      <c r="A415" t="s">
        <v>733</v>
      </c>
      <c r="B415" t="s">
        <v>266</v>
      </c>
      <c r="C415" t="s">
        <v>267</v>
      </c>
    </row>
    <row r="416" spans="1:3" x14ac:dyDescent="0.2">
      <c r="A416" t="s">
        <v>734</v>
      </c>
      <c r="B416" t="s">
        <v>266</v>
      </c>
      <c r="C416" t="s">
        <v>267</v>
      </c>
    </row>
    <row r="417" spans="1:3" x14ac:dyDescent="0.2">
      <c r="A417" t="s">
        <v>735</v>
      </c>
      <c r="B417" t="s">
        <v>266</v>
      </c>
      <c r="C417" t="s">
        <v>267</v>
      </c>
    </row>
    <row r="418" spans="1:3" x14ac:dyDescent="0.2">
      <c r="A418" t="s">
        <v>736</v>
      </c>
      <c r="B418" t="s">
        <v>266</v>
      </c>
      <c r="C418" t="s">
        <v>267</v>
      </c>
    </row>
    <row r="419" spans="1:3" x14ac:dyDescent="0.2">
      <c r="A419" t="s">
        <v>737</v>
      </c>
      <c r="B419" t="s">
        <v>258</v>
      </c>
      <c r="C419" t="s">
        <v>259</v>
      </c>
    </row>
    <row r="420" spans="1:3" x14ac:dyDescent="0.2">
      <c r="A420" t="s">
        <v>738</v>
      </c>
      <c r="B420" t="s">
        <v>258</v>
      </c>
      <c r="C420" t="s">
        <v>259</v>
      </c>
    </row>
    <row r="421" spans="1:3" x14ac:dyDescent="0.2">
      <c r="A421" t="s">
        <v>739</v>
      </c>
      <c r="B421" t="s">
        <v>282</v>
      </c>
      <c r="C421" t="s">
        <v>283</v>
      </c>
    </row>
    <row r="422" spans="1:3" x14ac:dyDescent="0.2">
      <c r="A422" t="s">
        <v>740</v>
      </c>
      <c r="B422" t="s">
        <v>282</v>
      </c>
      <c r="C422" t="s">
        <v>283</v>
      </c>
    </row>
    <row r="423" spans="1:3" x14ac:dyDescent="0.2">
      <c r="A423" t="s">
        <v>741</v>
      </c>
      <c r="B423" t="s">
        <v>282</v>
      </c>
      <c r="C423" t="s">
        <v>283</v>
      </c>
    </row>
    <row r="424" spans="1:3" x14ac:dyDescent="0.2">
      <c r="A424" t="s">
        <v>742</v>
      </c>
      <c r="B424" t="s">
        <v>280</v>
      </c>
      <c r="C424" t="s">
        <v>281</v>
      </c>
    </row>
    <row r="425" spans="1:3" x14ac:dyDescent="0.2">
      <c r="A425" t="s">
        <v>743</v>
      </c>
      <c r="B425" t="s">
        <v>280</v>
      </c>
      <c r="C425" t="s">
        <v>281</v>
      </c>
    </row>
    <row r="426" spans="1:3" x14ac:dyDescent="0.2">
      <c r="A426" t="s">
        <v>744</v>
      </c>
      <c r="B426" t="s">
        <v>280</v>
      </c>
      <c r="C426" t="s">
        <v>281</v>
      </c>
    </row>
    <row r="427" spans="1:3" x14ac:dyDescent="0.2">
      <c r="A427" t="s">
        <v>745</v>
      </c>
      <c r="B427" t="s">
        <v>280</v>
      </c>
      <c r="C427" t="s">
        <v>281</v>
      </c>
    </row>
    <row r="428" spans="1:3" x14ac:dyDescent="0.2">
      <c r="A428" t="s">
        <v>746</v>
      </c>
      <c r="B428" t="s">
        <v>280</v>
      </c>
      <c r="C428" t="s">
        <v>281</v>
      </c>
    </row>
    <row r="429" spans="1:3" x14ac:dyDescent="0.2">
      <c r="A429" t="s">
        <v>747</v>
      </c>
      <c r="B429" t="s">
        <v>280</v>
      </c>
      <c r="C429" t="s">
        <v>281</v>
      </c>
    </row>
    <row r="430" spans="1:3" x14ac:dyDescent="0.2">
      <c r="A430" t="s">
        <v>748</v>
      </c>
      <c r="B430" t="s">
        <v>280</v>
      </c>
      <c r="C430" t="s">
        <v>281</v>
      </c>
    </row>
    <row r="431" spans="1:3" x14ac:dyDescent="0.2">
      <c r="A431" t="s">
        <v>749</v>
      </c>
      <c r="B431" t="s">
        <v>280</v>
      </c>
      <c r="C431" t="s">
        <v>281</v>
      </c>
    </row>
    <row r="432" spans="1:3" x14ac:dyDescent="0.2">
      <c r="A432" t="s">
        <v>750</v>
      </c>
      <c r="C432" t="s">
        <v>870</v>
      </c>
    </row>
    <row r="433" spans="1:3" x14ac:dyDescent="0.2">
      <c r="A433" t="s">
        <v>751</v>
      </c>
      <c r="C433" t="s">
        <v>870</v>
      </c>
    </row>
    <row r="434" spans="1:3" x14ac:dyDescent="0.2">
      <c r="A434" t="s">
        <v>752</v>
      </c>
      <c r="C434" t="s">
        <v>870</v>
      </c>
    </row>
    <row r="435" spans="1:3" x14ac:dyDescent="0.2">
      <c r="A435" t="s">
        <v>753</v>
      </c>
      <c r="C435" t="s">
        <v>870</v>
      </c>
    </row>
    <row r="436" spans="1:3" x14ac:dyDescent="0.2">
      <c r="A436" t="s">
        <v>754</v>
      </c>
      <c r="C436" t="s">
        <v>870</v>
      </c>
    </row>
    <row r="437" spans="1:3" x14ac:dyDescent="0.2">
      <c r="A437" t="s">
        <v>755</v>
      </c>
      <c r="C437" t="s">
        <v>870</v>
      </c>
    </row>
    <row r="438" spans="1:3" x14ac:dyDescent="0.2">
      <c r="A438" t="s">
        <v>756</v>
      </c>
      <c r="B438" t="s">
        <v>278</v>
      </c>
      <c r="C438" t="s">
        <v>279</v>
      </c>
    </row>
    <row r="439" spans="1:3" x14ac:dyDescent="0.2">
      <c r="A439" t="s">
        <v>757</v>
      </c>
      <c r="B439" t="s">
        <v>278</v>
      </c>
      <c r="C439" t="s">
        <v>279</v>
      </c>
    </row>
    <row r="440" spans="1:3" x14ac:dyDescent="0.2">
      <c r="A440" t="s">
        <v>758</v>
      </c>
      <c r="B440" t="s">
        <v>278</v>
      </c>
      <c r="C440" t="s">
        <v>279</v>
      </c>
    </row>
    <row r="441" spans="1:3" x14ac:dyDescent="0.2">
      <c r="A441" t="s">
        <v>759</v>
      </c>
      <c r="B441" t="s">
        <v>278</v>
      </c>
      <c r="C441" t="s">
        <v>279</v>
      </c>
    </row>
    <row r="442" spans="1:3" x14ac:dyDescent="0.2">
      <c r="A442" t="s">
        <v>760</v>
      </c>
      <c r="B442" t="s">
        <v>278</v>
      </c>
      <c r="C442" t="s">
        <v>279</v>
      </c>
    </row>
    <row r="443" spans="1:3" x14ac:dyDescent="0.2">
      <c r="A443" t="s">
        <v>761</v>
      </c>
      <c r="B443" t="s">
        <v>278</v>
      </c>
      <c r="C443" t="s">
        <v>279</v>
      </c>
    </row>
    <row r="444" spans="1:3" x14ac:dyDescent="0.2">
      <c r="A444" t="s">
        <v>762</v>
      </c>
      <c r="B444" t="s">
        <v>278</v>
      </c>
      <c r="C444" t="s">
        <v>279</v>
      </c>
    </row>
    <row r="445" spans="1:3" x14ac:dyDescent="0.2">
      <c r="A445" t="s">
        <v>763</v>
      </c>
      <c r="B445" t="s">
        <v>278</v>
      </c>
      <c r="C445" t="s">
        <v>279</v>
      </c>
    </row>
    <row r="446" spans="1:3" x14ac:dyDescent="0.2">
      <c r="A446" t="s">
        <v>764</v>
      </c>
      <c r="B446" t="s">
        <v>278</v>
      </c>
      <c r="C446" t="s">
        <v>279</v>
      </c>
    </row>
    <row r="447" spans="1:3" x14ac:dyDescent="0.2">
      <c r="A447" t="s">
        <v>765</v>
      </c>
      <c r="B447" t="s">
        <v>278</v>
      </c>
      <c r="C447" t="s">
        <v>279</v>
      </c>
    </row>
    <row r="448" spans="1:3" x14ac:dyDescent="0.2">
      <c r="A448" t="s">
        <v>766</v>
      </c>
      <c r="B448" t="s">
        <v>278</v>
      </c>
      <c r="C448" t="s">
        <v>279</v>
      </c>
    </row>
    <row r="449" spans="1:3" x14ac:dyDescent="0.2">
      <c r="A449" t="s">
        <v>767</v>
      </c>
      <c r="B449" t="s">
        <v>278</v>
      </c>
      <c r="C449" t="s">
        <v>279</v>
      </c>
    </row>
    <row r="450" spans="1:3" x14ac:dyDescent="0.2">
      <c r="A450" t="s">
        <v>768</v>
      </c>
      <c r="B450" t="s">
        <v>278</v>
      </c>
      <c r="C450" t="s">
        <v>279</v>
      </c>
    </row>
    <row r="451" spans="1:3" x14ac:dyDescent="0.2">
      <c r="A451" t="s">
        <v>769</v>
      </c>
      <c r="B451" t="s">
        <v>278</v>
      </c>
      <c r="C451" t="s">
        <v>279</v>
      </c>
    </row>
    <row r="452" spans="1:3" x14ac:dyDescent="0.2">
      <c r="A452" t="s">
        <v>770</v>
      </c>
      <c r="B452" t="s">
        <v>257</v>
      </c>
      <c r="C452" t="s">
        <v>44</v>
      </c>
    </row>
    <row r="453" spans="1:3" x14ac:dyDescent="0.2">
      <c r="A453" t="s">
        <v>771</v>
      </c>
      <c r="B453" t="s">
        <v>257</v>
      </c>
      <c r="C453" t="s">
        <v>44</v>
      </c>
    </row>
    <row r="454" spans="1:3" x14ac:dyDescent="0.2">
      <c r="A454" t="s">
        <v>772</v>
      </c>
      <c r="B454" t="s">
        <v>257</v>
      </c>
      <c r="C454" t="s">
        <v>44</v>
      </c>
    </row>
    <row r="455" spans="1:3" x14ac:dyDescent="0.2">
      <c r="A455" t="s">
        <v>773</v>
      </c>
      <c r="B455" t="s">
        <v>257</v>
      </c>
      <c r="C455" t="s">
        <v>44</v>
      </c>
    </row>
    <row r="456" spans="1:3" x14ac:dyDescent="0.2">
      <c r="A456" t="s">
        <v>774</v>
      </c>
      <c r="B456" t="s">
        <v>257</v>
      </c>
      <c r="C456" t="s">
        <v>44</v>
      </c>
    </row>
    <row r="457" spans="1:3" x14ac:dyDescent="0.2">
      <c r="A457" t="s">
        <v>775</v>
      </c>
      <c r="B457" t="s">
        <v>257</v>
      </c>
      <c r="C457" t="s">
        <v>44</v>
      </c>
    </row>
    <row r="458" spans="1:3" x14ac:dyDescent="0.2">
      <c r="A458" t="s">
        <v>776</v>
      </c>
      <c r="B458" t="s">
        <v>257</v>
      </c>
      <c r="C458" t="s">
        <v>44</v>
      </c>
    </row>
    <row r="459" spans="1:3" x14ac:dyDescent="0.2">
      <c r="A459" t="s">
        <v>777</v>
      </c>
      <c r="B459" t="s">
        <v>257</v>
      </c>
      <c r="C459" t="s">
        <v>44</v>
      </c>
    </row>
    <row r="460" spans="1:3" x14ac:dyDescent="0.2">
      <c r="A460" t="s">
        <v>778</v>
      </c>
      <c r="B460" t="s">
        <v>257</v>
      </c>
      <c r="C460" t="s">
        <v>44</v>
      </c>
    </row>
    <row r="461" spans="1:3" x14ac:dyDescent="0.2">
      <c r="A461" t="s">
        <v>779</v>
      </c>
      <c r="B461" t="s">
        <v>257</v>
      </c>
      <c r="C461" t="s">
        <v>44</v>
      </c>
    </row>
    <row r="462" spans="1:3" x14ac:dyDescent="0.2">
      <c r="A462" t="s">
        <v>780</v>
      </c>
      <c r="B462" t="s">
        <v>257</v>
      </c>
      <c r="C462" t="s">
        <v>44</v>
      </c>
    </row>
    <row r="463" spans="1:3" x14ac:dyDescent="0.2">
      <c r="A463" t="s">
        <v>781</v>
      </c>
      <c r="B463" t="s">
        <v>257</v>
      </c>
      <c r="C463" t="s">
        <v>44</v>
      </c>
    </row>
    <row r="464" spans="1:3" x14ac:dyDescent="0.2">
      <c r="A464" t="s">
        <v>782</v>
      </c>
      <c r="B464" t="s">
        <v>257</v>
      </c>
      <c r="C464" t="s">
        <v>44</v>
      </c>
    </row>
    <row r="465" spans="1:3" x14ac:dyDescent="0.2">
      <c r="A465" t="s">
        <v>783</v>
      </c>
      <c r="B465" t="s">
        <v>260</v>
      </c>
      <c r="C465" t="s">
        <v>261</v>
      </c>
    </row>
    <row r="466" spans="1:3" x14ac:dyDescent="0.2">
      <c r="A466" t="s">
        <v>784</v>
      </c>
      <c r="B466" t="s">
        <v>260</v>
      </c>
      <c r="C466" t="s">
        <v>261</v>
      </c>
    </row>
    <row r="467" spans="1:3" x14ac:dyDescent="0.2">
      <c r="A467" t="s">
        <v>785</v>
      </c>
      <c r="B467" t="s">
        <v>260</v>
      </c>
      <c r="C467" t="s">
        <v>261</v>
      </c>
    </row>
    <row r="468" spans="1:3" x14ac:dyDescent="0.2">
      <c r="A468" t="s">
        <v>786</v>
      </c>
      <c r="B468" t="s">
        <v>260</v>
      </c>
      <c r="C468" t="s">
        <v>261</v>
      </c>
    </row>
    <row r="469" spans="1:3" x14ac:dyDescent="0.2">
      <c r="A469" t="s">
        <v>787</v>
      </c>
      <c r="B469" t="s">
        <v>260</v>
      </c>
      <c r="C469" t="s">
        <v>261</v>
      </c>
    </row>
    <row r="470" spans="1:3" x14ac:dyDescent="0.2">
      <c r="A470" t="s">
        <v>788</v>
      </c>
      <c r="B470" t="s">
        <v>260</v>
      </c>
      <c r="C470" t="s">
        <v>261</v>
      </c>
    </row>
    <row r="471" spans="1:3" x14ac:dyDescent="0.2">
      <c r="A471" t="s">
        <v>789</v>
      </c>
      <c r="B471" t="s">
        <v>268</v>
      </c>
      <c r="C471" t="s">
        <v>269</v>
      </c>
    </row>
    <row r="472" spans="1:3" x14ac:dyDescent="0.2">
      <c r="A472" t="s">
        <v>790</v>
      </c>
      <c r="B472" t="s">
        <v>280</v>
      </c>
      <c r="C472" t="s">
        <v>281</v>
      </c>
    </row>
    <row r="473" spans="1:3" x14ac:dyDescent="0.2">
      <c r="A473" t="s">
        <v>791</v>
      </c>
      <c r="B473" t="s">
        <v>280</v>
      </c>
      <c r="C473" t="s">
        <v>281</v>
      </c>
    </row>
    <row r="474" spans="1:3" x14ac:dyDescent="0.2">
      <c r="A474" t="s">
        <v>792</v>
      </c>
      <c r="B474" t="s">
        <v>280</v>
      </c>
      <c r="C474" t="s">
        <v>281</v>
      </c>
    </row>
    <row r="475" spans="1:3" x14ac:dyDescent="0.2">
      <c r="A475" t="s">
        <v>793</v>
      </c>
      <c r="B475" t="s">
        <v>53</v>
      </c>
      <c r="C475" t="s">
        <v>54</v>
      </c>
    </row>
    <row r="476" spans="1:3" x14ac:dyDescent="0.2">
      <c r="A476" t="s">
        <v>794</v>
      </c>
      <c r="B476" t="s">
        <v>301</v>
      </c>
      <c r="C476" t="s">
        <v>302</v>
      </c>
    </row>
    <row r="477" spans="1:3" x14ac:dyDescent="0.2">
      <c r="A477" t="s">
        <v>795</v>
      </c>
      <c r="B477" t="s">
        <v>303</v>
      </c>
      <c r="C477" t="s">
        <v>304</v>
      </c>
    </row>
    <row r="478" spans="1:3" x14ac:dyDescent="0.2">
      <c r="A478" t="s">
        <v>796</v>
      </c>
      <c r="B478" t="s">
        <v>305</v>
      </c>
      <c r="C478" t="s">
        <v>306</v>
      </c>
    </row>
    <row r="479" spans="1:3" x14ac:dyDescent="0.2">
      <c r="A479" t="s">
        <v>797</v>
      </c>
      <c r="B479" t="s">
        <v>307</v>
      </c>
      <c r="C479" t="s">
        <v>308</v>
      </c>
    </row>
    <row r="480" spans="1:3" x14ac:dyDescent="0.2">
      <c r="A480" t="s">
        <v>798</v>
      </c>
      <c r="B480" t="s">
        <v>309</v>
      </c>
      <c r="C480" t="s">
        <v>310</v>
      </c>
    </row>
    <row r="481" spans="1:3" x14ac:dyDescent="0.2">
      <c r="A481" t="s">
        <v>799</v>
      </c>
      <c r="B481" t="s">
        <v>311</v>
      </c>
      <c r="C481" t="s">
        <v>312</v>
      </c>
    </row>
    <row r="482" spans="1:3" x14ac:dyDescent="0.2">
      <c r="A482" t="s">
        <v>800</v>
      </c>
      <c r="B482" t="s">
        <v>313</v>
      </c>
      <c r="C482" t="s">
        <v>314</v>
      </c>
    </row>
    <row r="483" spans="1:3" x14ac:dyDescent="0.2">
      <c r="A483" t="s">
        <v>801</v>
      </c>
      <c r="B483" t="s">
        <v>315</v>
      </c>
      <c r="C483" t="s">
        <v>316</v>
      </c>
    </row>
    <row r="484" spans="1:3" x14ac:dyDescent="0.2">
      <c r="A484" t="s">
        <v>802</v>
      </c>
      <c r="B484" t="s">
        <v>317</v>
      </c>
      <c r="C484" t="s">
        <v>318</v>
      </c>
    </row>
    <row r="485" spans="1:3" x14ac:dyDescent="0.2">
      <c r="A485" t="s">
        <v>803</v>
      </c>
      <c r="B485" t="s">
        <v>284</v>
      </c>
      <c r="C485" t="s">
        <v>44</v>
      </c>
    </row>
    <row r="486" spans="1:3" x14ac:dyDescent="0.2">
      <c r="A486" t="s">
        <v>804</v>
      </c>
      <c r="B486" t="s">
        <v>291</v>
      </c>
      <c r="C486" t="s">
        <v>292</v>
      </c>
    </row>
    <row r="487" spans="1:3" x14ac:dyDescent="0.2">
      <c r="A487" t="s">
        <v>805</v>
      </c>
      <c r="B487" t="s">
        <v>297</v>
      </c>
      <c r="C487" t="s">
        <v>298</v>
      </c>
    </row>
    <row r="488" spans="1:3" x14ac:dyDescent="0.2">
      <c r="A488" t="s">
        <v>806</v>
      </c>
      <c r="B488" t="s">
        <v>293</v>
      </c>
      <c r="C488" t="s">
        <v>294</v>
      </c>
    </row>
    <row r="489" spans="1:3" x14ac:dyDescent="0.2">
      <c r="A489" t="s">
        <v>807</v>
      </c>
      <c r="B489" t="s">
        <v>285</v>
      </c>
      <c r="C489" t="s">
        <v>286</v>
      </c>
    </row>
    <row r="490" spans="1:3" x14ac:dyDescent="0.2">
      <c r="A490" t="s">
        <v>808</v>
      </c>
      <c r="B490" t="s">
        <v>289</v>
      </c>
      <c r="C490" t="s">
        <v>290</v>
      </c>
    </row>
    <row r="491" spans="1:3" x14ac:dyDescent="0.2">
      <c r="A491" t="s">
        <v>809</v>
      </c>
      <c r="B491" t="s">
        <v>289</v>
      </c>
      <c r="C491" t="s">
        <v>290</v>
      </c>
    </row>
    <row r="492" spans="1:3" x14ac:dyDescent="0.2">
      <c r="A492" t="s">
        <v>810</v>
      </c>
      <c r="B492" t="s">
        <v>287</v>
      </c>
      <c r="C492" t="s">
        <v>288</v>
      </c>
    </row>
    <row r="493" spans="1:3" x14ac:dyDescent="0.2">
      <c r="A493" t="s">
        <v>811</v>
      </c>
      <c r="B493" t="s">
        <v>287</v>
      </c>
      <c r="C493" t="s">
        <v>288</v>
      </c>
    </row>
    <row r="494" spans="1:3" x14ac:dyDescent="0.2">
      <c r="A494" t="s">
        <v>812</v>
      </c>
      <c r="B494" t="s">
        <v>299</v>
      </c>
      <c r="C494" t="s">
        <v>300</v>
      </c>
    </row>
    <row r="495" spans="1:3" x14ac:dyDescent="0.2">
      <c r="A495" t="s">
        <v>813</v>
      </c>
      <c r="B495" t="s">
        <v>295</v>
      </c>
      <c r="C495" t="s">
        <v>296</v>
      </c>
    </row>
    <row r="496" spans="1:3" x14ac:dyDescent="0.2">
      <c r="A496" t="s">
        <v>814</v>
      </c>
      <c r="B496" t="s">
        <v>284</v>
      </c>
      <c r="C496" t="s">
        <v>44</v>
      </c>
    </row>
    <row r="497" spans="1:3" x14ac:dyDescent="0.2">
      <c r="A497" t="s">
        <v>815</v>
      </c>
      <c r="B497" t="s">
        <v>289</v>
      </c>
      <c r="C497" t="s">
        <v>290</v>
      </c>
    </row>
  </sheetData>
  <autoFilter ref="E1:G1" xr:uid="{00000000-0009-0000-0000-000001000000}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D34" sqref="D34"/>
    </sheetView>
  </sheetViews>
  <sheetFormatPr baseColWidth="10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5A9F0CDA1F0945B08E12E6BC675A8E" ma:contentTypeVersion="1" ma:contentTypeDescription="Crée un document." ma:contentTypeScope="" ma:versionID="cc367223b442c863eddd96245bb034d2">
  <xsd:schema xmlns:xsd="http://www.w3.org/2001/XMLSchema" xmlns:xs="http://www.w3.org/2001/XMLSchema" xmlns:p="http://schemas.microsoft.com/office/2006/metadata/properties" xmlns:ns2="070bf87f-1042-4d1b-b9ee-89d1763c005b" targetNamespace="http://schemas.microsoft.com/office/2006/metadata/properties" ma:root="true" ma:fieldsID="3fc294cf6a2118373f2595dfa1a7c8e7" ns2:_="">
    <xsd:import namespace="070bf87f-1042-4d1b-b9ee-89d1763c005b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0bf87f-1042-4d1b-b9ee-89d1763c005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A307D6-FAD3-4EB8-95F1-557A50E885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40094F-BD16-4799-8C67-95D5A1C211F0}">
  <ds:schemaRefs>
    <ds:schemaRef ds:uri="http://purl.org/dc/elements/1.1/"/>
    <ds:schemaRef ds:uri="http://schemas.microsoft.com/office/2006/metadata/properties"/>
    <ds:schemaRef ds:uri="http://purl.org/dc/terms/"/>
    <ds:schemaRef ds:uri="070bf87f-1042-4d1b-b9ee-89d1763c00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FC8747F-D427-4594-B65D-B794AD7C99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0bf87f-1042-4d1b-b9ee-89d1763c00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FEB</vt:lpstr>
      <vt:lpstr>Table données</vt:lpstr>
      <vt:lpstr>Table</vt:lpstr>
      <vt:lpstr>FEB!Zone_d_impression</vt:lpstr>
    </vt:vector>
  </TitlesOfParts>
  <Company>Ministère des Armées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PENNETIER Antoine CR2</dc:creator>
  <cp:lastModifiedBy>LECRONIER Éloïse</cp:lastModifiedBy>
  <cp:lastPrinted>2025-01-14T12:24:36Z</cp:lastPrinted>
  <dcterms:created xsi:type="dcterms:W3CDTF">2022-01-19T13:20:58Z</dcterms:created>
  <dcterms:modified xsi:type="dcterms:W3CDTF">2026-07-03T09:50:41Z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0x010100D75A9F0CDA1F0945B08E12E6BC675A8E</vt:lpwstr>
  </property>
</Properties>
</file>